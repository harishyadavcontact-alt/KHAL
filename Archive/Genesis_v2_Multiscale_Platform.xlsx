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GILITY DASHBOARD" sheetId="1" state="visible" r:id="rId3"/>
    <sheet name="Settings" sheetId="2" state="visible" r:id="rId4"/>
    <sheet name="Physics" sheetId="3" state="visible" r:id="rId5"/>
    <sheet name="Biology" sheetId="4" state="visible" r:id="rId6"/>
    <sheet name="Ecology" sheetId="5" state="visible" r:id="rId7"/>
    <sheet name="Politics" sheetId="6" state="visible" r:id="rId8"/>
    <sheet name="Finance" sheetId="7" state="visible" r:id="rId9"/>
    <sheet name="Nurture" sheetId="8" state="visible" r:id="rId10"/>
    <sheet name="BarbellTracker" sheetId="9" state="visible" r:id="rId11"/>
    <sheet name="FragilistaTracker" sheetId="10" state="visible" r:id="rId12"/>
    <sheet name="WarGaming" sheetId="11" state="visible" r:id="rId13"/>
    <sheet name="StrategicMatrix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<sst xmlns="http://schemas.openxmlformats.org/spreadsheetml/2006/main" count="702" uniqueCount="235">
  <si>
    <t xml:space="preserve">REAL-TIME FRAGILITY INTELLIGENCE DASHBOARD</t>
  </si>
  <si>
    <t xml:space="preserve">LAST UPDATE:</t>
  </si>
  <si>
    <t xml:space="preserve">YOUR AGE:</t>
  </si>
  <si>
    <t xml:space="preserve">LOCATION:</t>
  </si>
  <si>
    <t xml:space="preserve">MULTI-SCALE FRAGILITY MATRIX</t>
  </si>
  <si>
    <t xml:space="preserve">SCALE</t>
  </si>
  <si>
    <t xml:space="preserve">SELF</t>
  </si>
  <si>
    <t xml:space="preserve">FAMILY</t>
  </si>
  <si>
    <t xml:space="preserve">LOCAL</t>
  </si>
  <si>
    <t xml:space="preserve">NATIONAL</t>
  </si>
  <si>
    <t xml:space="preserve">CIVILIZATIONAL</t>
  </si>
  <si>
    <t xml:space="preserve">PLANETARY</t>
  </si>
  <si>
    <t xml:space="preserve">AVERAGE</t>
  </si>
  <si>
    <t xml:space="preserve">Physics</t>
  </si>
  <si>
    <t xml:space="preserve">Biology</t>
  </si>
  <si>
    <t xml:space="preserve">Ecology</t>
  </si>
  <si>
    <t xml:space="preserve">Politics</t>
  </si>
  <si>
    <t xml:space="preserve">Finance</t>
  </si>
  <si>
    <t xml:space="preserve">Nurture</t>
  </si>
  <si>
    <t xml:space="preserve">TOTAL FRAGILITY</t>
  </si>
  <si>
    <t xml:space="preserve">DOMAIN ANALYZER</t>
  </si>
  <si>
    <t xml:space="preserve">SELECT DOMAIN:</t>
  </si>
  <si>
    <t xml:space="preserve">SELECTED DOMAIN METRICS:</t>
  </si>
  <si>
    <t xml:space="preserve">Scale</t>
  </si>
  <si>
    <t xml:space="preserve">Fragility</t>
  </si>
  <si>
    <t xml:space="preserve">Stakes</t>
  </si>
  <si>
    <t xml:space="preserve">Risk</t>
  </si>
  <si>
    <t xml:space="preserve">Vulnerabilities</t>
  </si>
  <si>
    <t xml:space="preserve">Top Priority Action</t>
  </si>
  <si>
    <t xml:space="preserve">Status</t>
  </si>
  <si>
    <t xml:space="preserve">STRATEGIC OPERATIONAL MATRIX</t>
  </si>
  <si>
    <t xml:space="preserve">DOMAIN:</t>
  </si>
  <si>
    <t xml:space="preserve">Type</t>
  </si>
  <si>
    <t xml:space="preserve">Relation</t>
  </si>
  <si>
    <t xml:space="preserve">Posture</t>
  </si>
  <si>
    <t xml:space="preserve">Strategy</t>
  </si>
  <si>
    <t xml:space="preserve">OVERT</t>
  </si>
  <si>
    <t xml:space="preserve">ALLIES</t>
  </si>
  <si>
    <t xml:space="preserve">OFFENSE</t>
  </si>
  <si>
    <t xml:space="preserve">ACTIVE</t>
  </si>
  <si>
    <t xml:space="preserve">DEFENSE</t>
  </si>
  <si>
    <t xml:space="preserve">ENEMIES</t>
  </si>
  <si>
    <t xml:space="preserve">COVERT</t>
  </si>
  <si>
    <t xml:space="preserve">BARBELL STRATEGY MONITOR (90/10 DEFENSE/OFFENSE)</t>
  </si>
  <si>
    <t xml:space="preserve">Metric</t>
  </si>
  <si>
    <t xml:space="preserve">Target %</t>
  </si>
  <si>
    <t xml:space="preserve">Current %</t>
  </si>
  <si>
    <t xml:space="preserve">Variance</t>
  </si>
  <si>
    <t xml:space="preserve">Affairs (Defense)</t>
  </si>
  <si>
    <t xml:space="preserve">Interests (Offense)</t>
  </si>
  <si>
    <t xml:space="preserve">Time Allocation (hrs/week)</t>
  </si>
  <si>
    <t xml:space="preserve">SYSTEM SETTINGS &amp; PERSONAL DATA</t>
  </si>
  <si>
    <t xml:space="preserve">Birth Date</t>
  </si>
  <si>
    <t xml:space="preserve">Current Location</t>
  </si>
  <si>
    <t xml:space="preserve">Chennai, India</t>
  </si>
  <si>
    <t xml:space="preserve">Life Expectancy (years)</t>
  </si>
  <si>
    <t xml:space="preserve">FRAGILITY THRESHOLDS</t>
  </si>
  <si>
    <t xml:space="preserve">Critical (Red)</t>
  </si>
  <si>
    <t xml:space="preserve">Medium (Yellow)</t>
  </si>
  <si>
    <t xml:space="preserve">Low (Green)</t>
  </si>
  <si>
    <t xml:space="preserve">PHYSICS - Laws of Physics - Grid collapse, CMEs, disasters</t>
  </si>
  <si>
    <t xml:space="preserve">Fragility (0-100)</t>
  </si>
  <si>
    <t xml:space="preserve">Stakes (1-10)</t>
  </si>
  <si>
    <t xml:space="preserve">Risk (1-10)</t>
  </si>
  <si>
    <t xml:space="preserve">Priority Action</t>
  </si>
  <si>
    <t xml:space="preserve">Grid dependency, no bunker, no Faraday cage</t>
  </si>
  <si>
    <t xml:space="preserve">Define action</t>
  </si>
  <si>
    <t xml:space="preserve">NOT STARTED</t>
  </si>
  <si>
    <t xml:space="preserve">Family on grid, urban living, no escape plan</t>
  </si>
  <si>
    <t xml:space="preserve">City grid vulnerable, transformer shortage</t>
  </si>
  <si>
    <t xml:space="preserve">Grid interconnected, no hardening, political gridlock</t>
  </si>
  <si>
    <t xml:space="preserve">Tech dependency, satellite vulnerability, solar cycle peak</t>
  </si>
  <si>
    <t xml:space="preserve">Solar cycle 25 peak, magnetosphere weakening, pole shift</t>
  </si>
  <si>
    <t xml:space="preserve">AFFAIRS (DEFENSE) - Hedge tail risks at this scale</t>
  </si>
  <si>
    <t xml:space="preserve">Affair</t>
  </si>
  <si>
    <t xml:space="preserve">Time (hrs)</t>
  </si>
  <si>
    <t xml:space="preserve">Due Date</t>
  </si>
  <si>
    <t xml:space="preserve">Completion %</t>
  </si>
  <si>
    <t xml:space="preserve">Self</t>
  </si>
  <si>
    <t xml:space="preserve">Family</t>
  </si>
  <si>
    <t xml:space="preserve">Local</t>
  </si>
  <si>
    <t xml:space="preserve">National</t>
  </si>
  <si>
    <t xml:space="preserve">Civilizational</t>
  </si>
  <si>
    <t xml:space="preserve">Planetary</t>
  </si>
  <si>
    <t xml:space="preserve">INTERESTS (OFFENSE) - Asymmetric bets at this scale</t>
  </si>
  <si>
    <t xml:space="preserve">Interest</t>
  </si>
  <si>
    <t xml:space="preserve">Asymmetry</t>
  </si>
  <si>
    <t xml:space="preserve">Upside</t>
  </si>
  <si>
    <t xml:space="preserve">Downside</t>
  </si>
  <si>
    <t xml:space="preserve">ROI</t>
  </si>
  <si>
    <t xml:space="preserve">STRATEGIC MATRIX (Overt/Covert × Ally/Enemy × Offense/Defense)</t>
  </si>
  <si>
    <t xml:space="preserve">ALLIES OFFENSE</t>
  </si>
  <si>
    <t xml:space="preserve">ALLIES DEFENSE</t>
  </si>
  <si>
    <t xml:space="preserve">ENEMIES OFFENSE</t>
  </si>
  <si>
    <t xml:space="preserve">ENEMIES DEFENSE</t>
  </si>
  <si>
    <t xml:space="preserve">Define strategy</t>
  </si>
  <si>
    <t xml:space="preserve">BIOLOGY - Laws of Nature - Atrophy, disease, aging, entropy</t>
  </si>
  <si>
    <t xml:space="preserve">Sedentary lifestyle, poor sleep, inflammation</t>
  </si>
  <si>
    <t xml:space="preserve">Aging parents, genetic risks, chronic conditions</t>
  </si>
  <si>
    <t xml:space="preserve">Hospital capacity limits, medical supply chains</t>
  </si>
  <si>
    <t xml:space="preserve">Healthcare system fragility, pandemic response</t>
  </si>
  <si>
    <t xml:space="preserve">Antibiotic resistance, bioweapon risk, lab leaks</t>
  </si>
  <si>
    <t xml:space="preserve">Ecosystem collapse, zoonotic spillover, mass extinction</t>
  </si>
  <si>
    <t xml:space="preserve">ECOLOGY - Law of Jungle - Dominance hierarchy, predation, Moloch</t>
  </si>
  <si>
    <t xml:space="preserve">Low status, visible wealth, no force capability</t>
  </si>
  <si>
    <t xml:space="preserve">Lack of tribe, no protection network</t>
  </si>
  <si>
    <t xml:space="preserve">Crime rates, social breakdown, gang activity</t>
  </si>
  <si>
    <t xml:space="preserve">Class warfare, wealth confiscation, mob rule</t>
  </si>
  <si>
    <t xml:space="preserve">Moloch dynamics, race to bottom, coordination failure</t>
  </si>
  <si>
    <t xml:space="preserve">Resource wars, geopolitical competition, great filter</t>
  </si>
  <si>
    <t xml:space="preserve">POLITICS - Law of the Land - Violence, legislation, lawfare</t>
  </si>
  <si>
    <t xml:space="preserve">Traceable assets, legal exposure, single jurisdiction</t>
  </si>
  <si>
    <t xml:space="preserve">No dual citizenship, asset concentration</t>
  </si>
  <si>
    <t xml:space="preserve">Regulatory capture, local corruption</t>
  </si>
  <si>
    <t xml:space="preserve">Authoritarian drift, asset seizure risk, capital controls</t>
  </si>
  <si>
    <t xml:space="preserve">Democracy failure, totalitarian convergence</t>
  </si>
  <si>
    <t xml:space="preserve">One world government risk, global surveillance state</t>
  </si>
  <si>
    <t xml:space="preserve">FINANCE - Law of Time - Debt, currency collapse, economic entropy</t>
  </si>
  <si>
    <t xml:space="preserve">Debt burden, fiat savings, W2 income only</t>
  </si>
  <si>
    <t xml:space="preserve">Single income stream, no generational wealth</t>
  </si>
  <si>
    <t xml:space="preserve">Municipal debt, pension crisis, tax base erosion</t>
  </si>
  <si>
    <t xml:space="preserve">Sovereign debt crisis, currency debasement, banking fragility</t>
  </si>
  <si>
    <t xml:space="preserve">Fiat endgame, reserve currency collapse, credit bubble</t>
  </si>
  <si>
    <t xml:space="preserve">Global debt saturation, monetary system reset</t>
  </si>
  <si>
    <t xml:space="preserve">NURTURE - Laws of Nurture - Culture, rhetoric, madness of crowds</t>
  </si>
  <si>
    <t xml:space="preserve">Reputation risk, cancel culture, mimetic contagion</t>
  </si>
  <si>
    <t xml:space="preserve">Social pressure, conformity demands, scapegoating</t>
  </si>
  <si>
    <t xml:space="preserve">Mob dynamics, moral panics, witch hunts</t>
  </si>
  <si>
    <t xml:space="preserve">Ideological extremism, culture wars, mass delusion</t>
  </si>
  <si>
    <t xml:space="preserve">Information warfare, narrative control, psyops</t>
  </si>
  <si>
    <t xml:space="preserve">Global groupthink, manufactured consensus</t>
  </si>
  <si>
    <t xml:space="preserve">BARBELL STRATEGY TRACKER (90/10 DEFENSE/OFFENSE)</t>
  </si>
  <si>
    <t xml:space="preserve">Target</t>
  </si>
  <si>
    <t xml:space="preserve">Current</t>
  </si>
  <si>
    <t xml:space="preserve">Affairs % (Defense)</t>
  </si>
  <si>
    <t xml:space="preserve">Interests % (Offense)</t>
  </si>
  <si>
    <t xml:space="preserve">Time Allocated (hrs/week)</t>
  </si>
  <si>
    <t xml:space="preserve">DETAILED BREAKDOWN</t>
  </si>
  <si>
    <t xml:space="preserve">Category</t>
  </si>
  <si>
    <t xml:space="preserve">Hours/Week</t>
  </si>
  <si>
    <t xml:space="preserve">% of Total</t>
  </si>
  <si>
    <t xml:space="preserve">Physics Affairs</t>
  </si>
  <si>
    <t xml:space="preserve">Defense</t>
  </si>
  <si>
    <t xml:space="preserve">Biology Affairs</t>
  </si>
  <si>
    <t xml:space="preserve">Finance Affairs</t>
  </si>
  <si>
    <t xml:space="preserve">Politics Affairs</t>
  </si>
  <si>
    <t xml:space="preserve">Finance Interests</t>
  </si>
  <si>
    <t xml:space="preserve">Offense</t>
  </si>
  <si>
    <t xml:space="preserve">Nurture Interests</t>
  </si>
  <si>
    <t xml:space="preserve">FRAGILISTA TRACKER - People/Institutions Making Asymmetric Bets Against Themselves</t>
  </si>
  <si>
    <t xml:space="preserve">Purpose: Identify those with no skin in the game, privatizing gains &amp; socializing losses</t>
  </si>
  <si>
    <t xml:space="preserve">Name/Institution</t>
  </si>
  <si>
    <t xml:space="preserve">Domain</t>
  </si>
  <si>
    <t xml:space="preserve">Stated Preference</t>
  </si>
  <si>
    <t xml:space="preserve">Revealed Preference</t>
  </si>
  <si>
    <t xml:space="preserve">SITG Score (1-10)</t>
  </si>
  <si>
    <t xml:space="preserve">Short Position</t>
  </si>
  <si>
    <t xml:space="preserve">Confidence</t>
  </si>
  <si>
    <t xml:space="preserve">Notes</t>
  </si>
  <si>
    <t xml:space="preserve">Jerome Powell</t>
  </si>
  <si>
    <t xml:space="preserve">Inflation is transitory</t>
  </si>
  <si>
    <t xml:space="preserve">Continues QE</t>
  </si>
  <si>
    <t xml:space="preserve">HIGH</t>
  </si>
  <si>
    <t xml:space="preserve">Long TLT puts</t>
  </si>
  <si>
    <t xml:space="preserve">TRACKING</t>
  </si>
  <si>
    <t xml:space="preserve">Fed chair</t>
  </si>
  <si>
    <t xml:space="preserve">Local Bank CEO</t>
  </si>
  <si>
    <t xml:space="preserve">Conservative lending</t>
  </si>
  <si>
    <t xml:space="preserve">Massive leverage</t>
  </si>
  <si>
    <t xml:space="preserve">None yet</t>
  </si>
  <si>
    <t xml:space="preserve">WATCHING</t>
  </si>
  <si>
    <t xml:space="preserve">Politician X</t>
  </si>
  <si>
    <t xml:space="preserve">Fiscal responsibility</t>
  </si>
  <si>
    <t xml:space="preserve">Votes for spending</t>
  </si>
  <si>
    <t xml:space="preserve">CRITICAL</t>
  </si>
  <si>
    <t xml:space="preserve">None</t>
  </si>
  <si>
    <t xml:space="preserve">WAR GAMING ENGINE - Scenario Planning with Taleb Math</t>
  </si>
  <si>
    <t xml:space="preserve">Think in: Ergodicity, Jensen's Inequality, Convexity Effects, Winning vs Being Right</t>
  </si>
  <si>
    <t xml:space="preserve">SCENARIO LIBRARY</t>
  </si>
  <si>
    <t xml:space="preserve">Scenario</t>
  </si>
  <si>
    <t xml:space="preserve">Probability</t>
  </si>
  <si>
    <t xml:space="preserve">Impact (1-10)</t>
  </si>
  <si>
    <t xml:space="preserve">Ergodic?</t>
  </si>
  <si>
    <t xml:space="preserve">Your Exposure</t>
  </si>
  <si>
    <t xml:space="preserve">Hedge Status</t>
  </si>
  <si>
    <t xml:space="preserve">Convexity</t>
  </si>
  <si>
    <t xml:space="preserve">Action Plan</t>
  </si>
  <si>
    <t xml:space="preserve">Grid Collapse (CME)</t>
  </si>
  <si>
    <t xml:space="preserve">10% per decade</t>
  </si>
  <si>
    <t xml:space="preserve">NO</t>
  </si>
  <si>
    <t xml:space="preserve">IN PROGRESS</t>
  </si>
  <si>
    <t xml:space="preserve">CONCAVE</t>
  </si>
  <si>
    <t xml:space="preserve">Build Faraday cage, stockpile</t>
  </si>
  <si>
    <t xml:space="preserve">Financial Crisis</t>
  </si>
  <si>
    <t xml:space="preserve">20% per decade</t>
  </si>
  <si>
    <t xml:space="preserve">MEDIUM</t>
  </si>
  <si>
    <t xml:space="preserve">PARTIAL</t>
  </si>
  <si>
    <t xml:space="preserve">BARBELL</t>
  </si>
  <si>
    <t xml:space="preserve">Gold hedge, clear debt</t>
  </si>
  <si>
    <t xml:space="preserve">Pandemic</t>
  </si>
  <si>
    <t xml:space="preserve">5% per decade</t>
  </si>
  <si>
    <t xml:space="preserve">Rural retreat, supplies</t>
  </si>
  <si>
    <t xml:space="preserve">Asset Seizure</t>
  </si>
  <si>
    <t xml:space="preserve">15% per year</t>
  </si>
  <si>
    <t xml:space="preserve">YES</t>
  </si>
  <si>
    <t xml:space="preserve">Offshore trusts</t>
  </si>
  <si>
    <t xml:space="preserve">Currency Collapse</t>
  </si>
  <si>
    <t xml:space="preserve">30% per decade</t>
  </si>
  <si>
    <t xml:space="preserve">Bitcoin, gold, skills</t>
  </si>
  <si>
    <t xml:space="preserve">PREPARATION MATRIX</t>
  </si>
  <si>
    <t xml:space="preserve">Resource Needed</t>
  </si>
  <si>
    <t xml:space="preserve">Quantity</t>
  </si>
  <si>
    <t xml:space="preserve">Current Stock</t>
  </si>
  <si>
    <t xml:space="preserve">Gap</t>
  </si>
  <si>
    <t xml:space="preserve">Priority</t>
  </si>
  <si>
    <t xml:space="preserve">Budget</t>
  </si>
  <si>
    <t xml:space="preserve">Timeline</t>
  </si>
  <si>
    <t xml:space="preserve">Grid Collapse</t>
  </si>
  <si>
    <t xml:space="preserve">Faraday cages</t>
  </si>
  <si>
    <t xml:space="preserve">$500</t>
  </si>
  <si>
    <t xml:space="preserve">2 weeks</t>
  </si>
  <si>
    <t xml:space="preserve">Food (days)</t>
  </si>
  <si>
    <t xml:space="preserve">$3000</t>
  </si>
  <si>
    <t xml:space="preserve">3 months</t>
  </si>
  <si>
    <t xml:space="preserve">Gold (oz)</t>
  </si>
  <si>
    <t xml:space="preserve">$100k</t>
  </si>
  <si>
    <t xml:space="preserve">6 months</t>
  </si>
  <si>
    <t xml:space="preserve">N95 masks</t>
  </si>
  <si>
    <t xml:space="preserve">$50</t>
  </si>
  <si>
    <t xml:space="preserve">1 week</t>
  </si>
  <si>
    <t xml:space="preserve">Offshore accounts</t>
  </si>
  <si>
    <t xml:space="preserve">$5k</t>
  </si>
  <si>
    <t xml:space="preserve">2 months</t>
  </si>
  <si>
    <t xml:space="preserve">STRATEGIC MATRIX - Overt/Covert × Ally/Enemy × Offense/Defense</t>
  </si>
  <si>
    <t xml:space="preserve">Selected Domain: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</si>
</sst>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\ hh:mm:ss"/>
    <numFmt numFmtId="166" formatCode="0.0000&quot; years&quot;"/>
    <numFmt numFmtId="167" formatCode="0"/>
    <numFmt numFmtId="168" formatCode="0.0"/>
    <numFmt numFmtId="169" formatCode="dd\-mmm\-yyyy"/>
    <numFmt numFmtId="170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name val="Cambria"/>
      <family val="0"/>
      <charset val="1"/>
    </font>
    <font>
      <b val="true"/>
      <i val="true"/>
      <sz val="10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  <fill>
      <patternFill patternType="solid">
        <fgColor rgb="FF2F4F4F"/>
        <bgColor rgb="FF4A4A4A"/>
      </patternFill>
    </fill>
    <fill>
      <patternFill patternType="solid">
        <fgColor rgb="FF4A4A4A"/>
        <bgColor rgb="FF2F4F4F"/>
      </patternFill>
    </fill>
    <fill>
      <patternFill patternType="solid">
        <fgColor rgb="FFFF0000"/>
        <bgColor rgb="FF8B0000"/>
      </patternFill>
    </fill>
    <fill>
      <patternFill patternType="solid">
        <fgColor rgb="FF1F4E78"/>
        <bgColor rgb="FF2F4F4F"/>
      </patternFill>
    </fill>
    <fill>
      <patternFill patternType="solid">
        <fgColor rgb="FF666666"/>
        <bgColor rgb="FF4A4A4A"/>
      </patternFill>
    </fill>
    <fill>
      <patternFill patternType="solid">
        <fgColor rgb="FF0064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00FF00"/>
        <bgColor rgb="FF33CCCC"/>
      </patternFill>
    </fill>
    <fill>
      <patternFill patternType="solid">
        <fgColor rgb="FF8B4513"/>
        <bgColor rgb="FF993366"/>
      </patternFill>
    </fill>
    <fill>
      <patternFill patternType="solid">
        <fgColor rgb="FF0000FF"/>
        <bgColor rgb="FF0000FF"/>
      </patternFill>
    </fill>
    <fill>
      <patternFill patternType="solid">
        <fgColor rgb="FFFFD700"/>
        <bgColor rgb="FFFFFF00"/>
      </patternFill>
    </fill>
    <fill>
      <patternFill patternType="solid">
        <fgColor rgb="FFFF00FF"/>
        <bgColor rgb="FFFF0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D700"/>
      <rgbColor rgb="FFFF9900"/>
      <rgbColor rgb="FFFF6600"/>
      <rgbColor rgb="FF666666"/>
      <rgbColor rgb="FF969696"/>
      <rgbColor rgb="FF003366"/>
      <rgbColor rgb="FF339966"/>
      <rgbColor rgb="FF003300"/>
      <rgbColor rgb="FF2F4F4F"/>
      <rgbColor rgb="FF8B4513"/>
      <rgbColor rgb="FF993366"/>
      <rgbColor rgb="FF1F4E78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Fragility Across 6 Domains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'FRAGILITY DASHBOARD'!H5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'FRAGILITY DASHBOARD'!$A$6:$A$11</c:f>
              <c:strCache>
                <c:ptCount val="6"/>
                <c:pt idx="0">
                  <c:v>Physics</c:v>
                </c:pt>
                <c:pt idx="1">
                  <c:v>Biology</c:v>
                </c:pt>
                <c:pt idx="2">
                  <c:v>Ecology</c:v>
                </c:pt>
                <c:pt idx="3">
                  <c:v>Politics</c:v>
                </c:pt>
                <c:pt idx="4">
                  <c:v>Finance</c:v>
                </c:pt>
                <c:pt idx="5">
                  <c:v>Nurture</c:v>
                </c:pt>
              </c:strCache>
            </c:strRef>
          </c:cat>
          <c:val>
            <c:numRef>
              <c:f>'FRAGILITY DASHBOARD'!$H$6:$H$11</c:f>
              <c:numCache>
                <c:formatCode>General</c:formatCode>
                <c:ptCount val="6"/>
              </c:numCache>
            </c:numRef>
          </c:val>
        </c:ser>
        <c:axId val="40730913"/>
        <c:axId val="5633934"/>
      </c:radarChart>
      <c:catAx>
        <c:axId val="4073091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3934"/>
        <c:crosses val="autoZero"/>
        <c:auto val="1"/>
        <c:lblAlgn val="ctr"/>
        <c:lblOffset val="100"/>
        <c:noMultiLvlLbl val="0"/>
      </c:catAx>
      <c:valAx>
        <c:axId val="56339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3091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Barbell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'FRAGILITY DASHBOARD'!C38</c:f>
              <c:strCache>
                <c:ptCount val="1"/>
                <c:pt idx="0">
                  <c:v>Current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'FRAGILITY DASHBOARD'!$A$39:$A$40</c:f>
              <c:strCache>
                <c:ptCount val="2"/>
                <c:pt idx="0">
                  <c:v>Affairs (Defense)</c:v>
                </c:pt>
                <c:pt idx="1">
                  <c:v>Interests (Offense)</c:v>
                </c:pt>
              </c:strCache>
            </c:strRef>
          </c:cat>
          <c:val>
            <c:numRef>
              <c:f>'FRAGILITY DASHBOARD'!$C$39:$C$40</c:f>
              <c:numCache>
                <c:formatCode>General</c:formatCode>
                <c:ptCount val="2"/>
                <c:pt idx="0">
                  <c:v>85</c:v>
                </c:pt>
                <c:pt idx="1">
                  <c:v>15</c:v>
                </c:pt>
              </c:numCache>
            </c:numRef>
          </c:val>
        </c:ser>
        <c:gapWidth val="150"/>
        <c:overlap val="0"/>
        <c:axId val="89922834"/>
        <c:axId val="99201221"/>
      </c:barChart>
      <c:catAx>
        <c:axId val="89922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01221"/>
        <c:crosses val="autoZero"/>
        <c:auto val="1"/>
        <c:lblAlgn val="ctr"/>
        <c:lblOffset val="100"/>
        <c:noMultiLvlLbl val="0"/>
      </c:catAx>
      <c:valAx>
        <c:axId val="99201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228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15</xdr:col>
      <xdr:colOff>324720</xdr:colOff>
      <xdr:row>11</xdr:row>
      <xdr:rowOff>169920</xdr:rowOff>
    </xdr:to>
    <xdr:graphicFrame>
      <xdr:nvGraphicFramePr>
        <xdr:cNvPr id="0" name="Chart 1"/>
        <xdr:cNvGraphicFramePr/>
      </xdr:nvGraphicFramePr>
      <xdr:xfrm>
        <a:off x="8035200" y="952560"/>
        <a:ext cx="53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389880</xdr:rowOff>
    </xdr:from>
    <xdr:to>
      <xdr:col>14</xdr:col>
      <xdr:colOff>90360</xdr:colOff>
      <xdr:row>20</xdr:row>
      <xdr:rowOff>110880</xdr:rowOff>
    </xdr:to>
    <xdr:graphicFrame>
      <xdr:nvGraphicFramePr>
        <xdr:cNvPr id="1" name="Chart 2"/>
        <xdr:cNvGraphicFramePr/>
      </xdr:nvGraphicFramePr>
      <xdr:xfrm>
        <a:off x="8035200" y="476244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8" min="2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0" t="s">
        <v>1</v>
      </c>
      <c r="B2" s="2" t="n">
        <f aca="true">NOW()</f>
        <v>46069.5505458296</v>
      </c>
      <c r="D2" s="3" t="s">
        <v>2</v>
      </c>
      <c r="E2" s="4" t="n">
        <f aca="true">ROUND((NOW()-Settings!B2)/365.25,4)</f>
        <v>31.1281</v>
      </c>
      <c r="G2" s="3" t="s">
        <v>3</v>
      </c>
      <c r="H2" s="5" t="str">
        <f aca="false">Settings!B3</f>
        <v>Chennai, India</v>
      </c>
    </row>
    <row r="4" customFormat="false" ht="15" hidden="false" customHeight="true" outlineLevel="0" collapsed="false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customFormat="false" ht="26.85" hidden="false" customHeight="false" outlineLevel="0" collapsed="false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</row>
    <row r="6" customFormat="false" ht="46.25" hidden="false" customHeight="false" outlineLevel="0" collapsed="false">
      <c r="A6" s="8" t="s">
        <v>13</v>
      </c>
      <c r="B6" s="9" t="n">
        <f aca="false">Physics!B4</f>
        <v>80</v>
      </c>
      <c r="C6" s="9" t="n">
        <f aca="false">Physics!C4</f>
        <v>10</v>
      </c>
      <c r="D6" s="9" t="n">
        <f aca="false">Physics!D4</f>
        <v>8</v>
      </c>
      <c r="E6" s="9" t="str">
        <f aca="false">Physics!E4</f>
        <v>Grid dependency, no bunker, no Faraday cage</v>
      </c>
      <c r="F6" s="9" t="str">
        <f aca="false">Physics!F4</f>
        <v>Define action</v>
      </c>
      <c r="G6" s="9" t="str">
        <f aca="false">Physics!G4</f>
        <v>NOT STARTED</v>
      </c>
    </row>
    <row r="7" customFormat="false" ht="46.25" hidden="false" customHeight="false" outlineLevel="0" collapsed="false">
      <c r="A7" s="8" t="s">
        <v>14</v>
      </c>
      <c r="B7" s="9" t="n">
        <f aca="false">Biology!B4</f>
        <v>80</v>
      </c>
      <c r="C7" s="9" t="n">
        <f aca="false">Biology!C4</f>
        <v>10</v>
      </c>
      <c r="D7" s="9" t="n">
        <f aca="false">Biology!D4</f>
        <v>8</v>
      </c>
      <c r="E7" s="9" t="str">
        <f aca="false">Biology!E4</f>
        <v>Sedentary lifestyle, poor sleep, inflammation</v>
      </c>
      <c r="F7" s="9" t="str">
        <f aca="false">Biology!F4</f>
        <v>Define action</v>
      </c>
      <c r="G7" s="9" t="str">
        <f aca="false">Biology!G4</f>
        <v>NOT STARTED</v>
      </c>
    </row>
    <row r="8" customFormat="false" ht="46.25" hidden="false" customHeight="false" outlineLevel="0" collapsed="false">
      <c r="A8" s="8" t="s">
        <v>15</v>
      </c>
      <c r="B8" s="9" t="n">
        <f aca="false">Ecology!B4</f>
        <v>80</v>
      </c>
      <c r="C8" s="9" t="n">
        <f aca="false">Ecology!C4</f>
        <v>10</v>
      </c>
      <c r="D8" s="9" t="n">
        <f aca="false">Ecology!D4</f>
        <v>8</v>
      </c>
      <c r="E8" s="9" t="str">
        <f aca="false">Ecology!E4</f>
        <v>Low status, visible wealth, no force capability</v>
      </c>
      <c r="F8" s="9" t="str">
        <f aca="false">Ecology!F4</f>
        <v>Define action</v>
      </c>
      <c r="G8" s="9" t="str">
        <f aca="false">Ecology!G4</f>
        <v>NOT STARTED</v>
      </c>
    </row>
    <row r="9" customFormat="false" ht="57.45" hidden="false" customHeight="false" outlineLevel="0" collapsed="false">
      <c r="A9" s="8" t="s">
        <v>16</v>
      </c>
      <c r="B9" s="9" t="n">
        <f aca="false">Politics!B4</f>
        <v>80</v>
      </c>
      <c r="C9" s="9" t="n">
        <f aca="false">Politics!C4</f>
        <v>10</v>
      </c>
      <c r="D9" s="9" t="n">
        <f aca="false">Politics!D4</f>
        <v>8</v>
      </c>
      <c r="E9" s="9" t="str">
        <f aca="false">Politics!E4</f>
        <v>Traceable assets, legal exposure, single jurisdiction</v>
      </c>
      <c r="F9" s="9" t="str">
        <f aca="false">Politics!F4</f>
        <v>Define action</v>
      </c>
      <c r="G9" s="9" t="str">
        <f aca="false">Politics!G4</f>
        <v>NOT STARTED</v>
      </c>
    </row>
    <row r="10" customFormat="false" ht="46.25" hidden="false" customHeight="false" outlineLevel="0" collapsed="false">
      <c r="A10" s="8" t="s">
        <v>17</v>
      </c>
      <c r="B10" s="9" t="n">
        <f aca="false">Finance!B4</f>
        <v>80</v>
      </c>
      <c r="C10" s="9" t="n">
        <f aca="false">Finance!C4</f>
        <v>10</v>
      </c>
      <c r="D10" s="9" t="n">
        <f aca="false">Finance!D4</f>
        <v>8</v>
      </c>
      <c r="E10" s="9" t="str">
        <f aca="false">Finance!E4</f>
        <v>Debt burden, fiat savings, W2 income only</v>
      </c>
      <c r="F10" s="9" t="str">
        <f aca="false">Finance!F4</f>
        <v>Define action</v>
      </c>
      <c r="G10" s="9" t="str">
        <f aca="false">Finance!G4</f>
        <v>NOT STARTED</v>
      </c>
    </row>
    <row r="11" customFormat="false" ht="57.45" hidden="false" customHeight="false" outlineLevel="0" collapsed="false">
      <c r="A11" s="8" t="s">
        <v>18</v>
      </c>
      <c r="B11" s="9" t="n">
        <f aca="false">Nurture!B4</f>
        <v>80</v>
      </c>
      <c r="C11" s="9" t="n">
        <f aca="false">Nurture!C4</f>
        <v>10</v>
      </c>
      <c r="D11" s="9" t="n">
        <f aca="false">Nurture!D4</f>
        <v>8</v>
      </c>
      <c r="E11" s="9" t="str">
        <f aca="false">Nurture!E4</f>
        <v>Reputation risk, cancel culture, mimetic contagion</v>
      </c>
      <c r="F11" s="9" t="str">
        <f aca="false">Nurture!F4</f>
        <v>Define action</v>
      </c>
      <c r="G11" s="9" t="str">
        <f aca="false">Nurture!G4</f>
        <v>NOT STARTED</v>
      </c>
    </row>
    <row r="12" customFormat="false" ht="26.85" hidden="false" customHeight="false" outlineLevel="0" collapsed="false">
      <c r="A12" s="10" t="s">
        <v>19</v>
      </c>
      <c r="B12" s="11" t="n">
        <f aca="false">AVERAGE(B6:B11)</f>
        <v>80</v>
      </c>
      <c r="C12" s="11" t="n">
        <f aca="false">AVERAGE(B6:C11)</f>
        <v>45</v>
      </c>
      <c r="D12" s="11" t="n">
        <f aca="false">AVERAGE(B6:D11)</f>
        <v>32.6666666666667</v>
      </c>
      <c r="E12" s="11" t="n">
        <f aca="false">AVERAGE(B6:E11)</f>
        <v>32.6666666666667</v>
      </c>
      <c r="F12" s="11" t="n">
        <f aca="false">AVERAGE(B6:F11)</f>
        <v>32.6666666666667</v>
      </c>
      <c r="G12" s="11" t="n">
        <f aca="false">AVERAGE(B6:G11)</f>
        <v>32.6666666666667</v>
      </c>
      <c r="H12" s="11" t="n">
        <f aca="false">AVERAGE(B6:H11)</f>
        <v>32.6666666666667</v>
      </c>
    </row>
    <row r="14" customFormat="false" ht="15" hidden="false" customHeight="true" outlineLevel="0" collapsed="false">
      <c r="A14" s="12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customFormat="false" ht="15" hidden="false" customHeight="false" outlineLevel="0" collapsed="false">
      <c r="A15" s="0" t="s">
        <v>21</v>
      </c>
      <c r="B15" s="13" t="s">
        <v>13</v>
      </c>
    </row>
    <row r="16" customFormat="false" ht="15" hidden="false" customHeight="true" outlineLevel="0" collapsed="false">
      <c r="A16" s="14" t="s">
        <v>22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customFormat="false" ht="22.35" hidden="false" customHeight="false" outlineLevel="0" collapsed="false">
      <c r="A17" s="15" t="s">
        <v>23</v>
      </c>
      <c r="B17" s="15" t="s">
        <v>24</v>
      </c>
      <c r="C17" s="15" t="s">
        <v>25</v>
      </c>
      <c r="D17" s="15" t="s">
        <v>26</v>
      </c>
      <c r="E17" s="15" t="s">
        <v>27</v>
      </c>
      <c r="F17" s="15" t="s">
        <v>28</v>
      </c>
      <c r="G17" s="15" t="s">
        <v>29</v>
      </c>
    </row>
    <row r="18" customFormat="false" ht="46.25" hidden="false" customHeight="false" outlineLevel="0" collapsed="false">
      <c r="A18" s="16" t="s">
        <v>6</v>
      </c>
      <c r="B18" s="9" t="n">
        <f aca="true">INDIRECT($B$15&amp;"!B4")</f>
        <v>80</v>
      </c>
      <c r="C18" s="16" t="n">
        <f aca="true">INDIRECT($B$15&amp;"!C4")</f>
        <v>10</v>
      </c>
      <c r="D18" s="16" t="n">
        <f aca="true">INDIRECT($B$15&amp;"!D4")</f>
        <v>8</v>
      </c>
      <c r="E18" s="16" t="str">
        <f aca="true">INDIRECT($B$15&amp;"!E4")</f>
        <v>Grid dependency, no bunker, no Faraday cage</v>
      </c>
      <c r="F18" s="16" t="str">
        <f aca="true">INDIRECT($B$15&amp;"!F4")</f>
        <v>Define action</v>
      </c>
      <c r="G18" s="16" t="str">
        <f aca="true">INDIRECT($B$15&amp;"!G4")</f>
        <v>NOT STARTED</v>
      </c>
    </row>
    <row r="19" customFormat="false" ht="46.25" hidden="false" customHeight="false" outlineLevel="0" collapsed="false">
      <c r="A19" s="16" t="s">
        <v>7</v>
      </c>
      <c r="B19" s="9" t="n">
        <f aca="true">INDIRECT($B$15&amp;"!B5")</f>
        <v>63</v>
      </c>
      <c r="C19" s="16" t="n">
        <f aca="true">INDIRECT($B$15&amp;"!C5")</f>
        <v>9</v>
      </c>
      <c r="D19" s="16" t="n">
        <f aca="true">INDIRECT($B$15&amp;"!D5")</f>
        <v>7</v>
      </c>
      <c r="E19" s="16" t="str">
        <f aca="true">INDIRECT($B$15&amp;"!E5")</f>
        <v>Family on grid, urban living, no escape plan</v>
      </c>
      <c r="F19" s="16" t="str">
        <f aca="true">INDIRECT($B$15&amp;"!F5")</f>
        <v>Define action</v>
      </c>
      <c r="G19" s="16" t="str">
        <f aca="true">INDIRECT($B$15&amp;"!G5")</f>
        <v>NOT STARTED</v>
      </c>
    </row>
    <row r="20" customFormat="false" ht="46.25" hidden="false" customHeight="false" outlineLevel="0" collapsed="false">
      <c r="A20" s="16" t="s">
        <v>8</v>
      </c>
      <c r="B20" s="9" t="n">
        <f aca="true">INDIRECT($B$15&amp;"!B6")</f>
        <v>42</v>
      </c>
      <c r="C20" s="16" t="n">
        <f aca="true">INDIRECT($B$15&amp;"!C6")</f>
        <v>7</v>
      </c>
      <c r="D20" s="16" t="n">
        <f aca="true">INDIRECT($B$15&amp;"!D6")</f>
        <v>6</v>
      </c>
      <c r="E20" s="16" t="str">
        <f aca="true">INDIRECT($B$15&amp;"!E6")</f>
        <v>City grid vulnerable, transformer shortage</v>
      </c>
      <c r="F20" s="16" t="str">
        <f aca="true">INDIRECT($B$15&amp;"!F6")</f>
        <v>Define action</v>
      </c>
      <c r="G20" s="16" t="str">
        <f aca="true">INDIRECT($B$15&amp;"!G6")</f>
        <v>NOT STARTED</v>
      </c>
    </row>
    <row r="21" customFormat="false" ht="68.65" hidden="false" customHeight="false" outlineLevel="0" collapsed="false">
      <c r="A21" s="16" t="s">
        <v>9</v>
      </c>
      <c r="B21" s="9" t="n">
        <f aca="true">INDIRECT($B$15&amp;"!B7")</f>
        <v>56</v>
      </c>
      <c r="C21" s="16" t="n">
        <f aca="true">INDIRECT($B$15&amp;"!C7")</f>
        <v>8</v>
      </c>
      <c r="D21" s="16" t="n">
        <f aca="true">INDIRECT($B$15&amp;"!D7")</f>
        <v>7</v>
      </c>
      <c r="E21" s="16" t="str">
        <f aca="true">INDIRECT($B$15&amp;"!E7")</f>
        <v>Grid interconnected, no hardening, political gridlock</v>
      </c>
      <c r="F21" s="16" t="str">
        <f aca="true">INDIRECT($B$15&amp;"!F7")</f>
        <v>Define action</v>
      </c>
      <c r="G21" s="16" t="str">
        <f aca="true">INDIRECT($B$15&amp;"!G7")</f>
        <v>NOT STARTED</v>
      </c>
    </row>
    <row r="22" customFormat="false" ht="68.65" hidden="false" customHeight="false" outlineLevel="0" collapsed="false">
      <c r="A22" s="16" t="s">
        <v>10</v>
      </c>
      <c r="B22" s="9" t="n">
        <f aca="true">INDIRECT($B$15&amp;"!B8")</f>
        <v>48</v>
      </c>
      <c r="C22" s="16" t="n">
        <f aca="true">INDIRECT($B$15&amp;"!C8")</f>
        <v>6</v>
      </c>
      <c r="D22" s="16" t="n">
        <f aca="true">INDIRECT($B$15&amp;"!D8")</f>
        <v>8</v>
      </c>
      <c r="E22" s="16" t="str">
        <f aca="true">INDIRECT($B$15&amp;"!E8")</f>
        <v>Tech dependency, satellite vulnerability, solar cycle peak</v>
      </c>
      <c r="F22" s="16" t="str">
        <f aca="true">INDIRECT($B$15&amp;"!F8")</f>
        <v>Define action</v>
      </c>
      <c r="G22" s="16" t="str">
        <f aca="true">INDIRECT($B$15&amp;"!G8")</f>
        <v>NOT STARTED</v>
      </c>
    </row>
    <row r="23" customFormat="false" ht="57.45" hidden="false" customHeight="false" outlineLevel="0" collapsed="false">
      <c r="A23" s="16" t="s">
        <v>11</v>
      </c>
      <c r="B23" s="9" t="n">
        <f aca="true">INDIRECT($B$15&amp;"!B9")</f>
        <v>45</v>
      </c>
      <c r="C23" s="16" t="n">
        <f aca="true">INDIRECT($B$15&amp;"!C9")</f>
        <v>5</v>
      </c>
      <c r="D23" s="16" t="n">
        <f aca="true">INDIRECT($B$15&amp;"!D9")</f>
        <v>9</v>
      </c>
      <c r="E23" s="16" t="str">
        <f aca="true">INDIRECT($B$15&amp;"!E9")</f>
        <v>Solar cycle 25 peak, magnetosphere weakening, pole shift</v>
      </c>
      <c r="F23" s="16" t="str">
        <f aca="true">INDIRECT($B$15&amp;"!F9")</f>
        <v>Define action</v>
      </c>
      <c r="G23" s="16" t="str">
        <f aca="true">INDIRECT($B$15&amp;"!G9")</f>
        <v>NOT STARTED</v>
      </c>
    </row>
    <row r="25" customFormat="false" ht="15" hidden="false" customHeight="true" outlineLevel="0" collapsed="false">
      <c r="A25" s="17" t="s">
        <v>30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customFormat="false" ht="15" hidden="false" customHeight="false" outlineLevel="0" collapsed="false">
      <c r="A26" s="0" t="s">
        <v>31</v>
      </c>
      <c r="B26" s="0" t="str">
        <f aca="false">B15</f>
        <v>Physics</v>
      </c>
    </row>
    <row r="27" customFormat="false" ht="15" hidden="false" customHeight="false" outlineLevel="0" collapsed="false">
      <c r="A27" s="14" t="s">
        <v>32</v>
      </c>
      <c r="B27" s="14" t="s">
        <v>33</v>
      </c>
      <c r="C27" s="14" t="s">
        <v>34</v>
      </c>
      <c r="D27" s="14" t="s">
        <v>35</v>
      </c>
      <c r="E27" s="14" t="s">
        <v>29</v>
      </c>
    </row>
    <row r="28" customFormat="false" ht="23.85" hidden="false" customHeight="false" outlineLevel="0" collapsed="false">
      <c r="A28" s="16" t="s">
        <v>36</v>
      </c>
      <c r="B28" s="16" t="s">
        <v>37</v>
      </c>
      <c r="C28" s="16" t="s">
        <v>38</v>
      </c>
      <c r="D28" s="16" t="str">
        <f aca="true">INDIRECT($B$15&amp;"!B3")</f>
        <v>Fragility (0-100)</v>
      </c>
      <c r="E28" s="16" t="s">
        <v>39</v>
      </c>
    </row>
    <row r="29" customFormat="false" ht="15" hidden="false" customHeight="false" outlineLevel="0" collapsed="false">
      <c r="A29" s="16" t="s">
        <v>36</v>
      </c>
      <c r="B29" s="16" t="s">
        <v>37</v>
      </c>
      <c r="C29" s="16" t="s">
        <v>40</v>
      </c>
      <c r="D29" s="16" t="str">
        <f aca="true">INDIRECT($B$15&amp;"!C3")</f>
        <v>Stakes (1-10)</v>
      </c>
      <c r="E29" s="16" t="s">
        <v>39</v>
      </c>
    </row>
    <row r="30" customFormat="false" ht="15" hidden="false" customHeight="false" outlineLevel="0" collapsed="false">
      <c r="A30" s="16" t="s">
        <v>36</v>
      </c>
      <c r="B30" s="16" t="s">
        <v>41</v>
      </c>
      <c r="C30" s="16" t="s">
        <v>38</v>
      </c>
      <c r="D30" s="16" t="str">
        <f aca="true">INDIRECT($B$15&amp;"!D3")</f>
        <v>Risk (1-10)</v>
      </c>
      <c r="E30" s="16" t="s">
        <v>39</v>
      </c>
    </row>
    <row r="31" customFormat="false" ht="15" hidden="false" customHeight="false" outlineLevel="0" collapsed="false">
      <c r="A31" s="16" t="s">
        <v>36</v>
      </c>
      <c r="B31" s="16" t="s">
        <v>41</v>
      </c>
      <c r="C31" s="16" t="s">
        <v>40</v>
      </c>
      <c r="D31" s="16" t="str">
        <f aca="true">INDIRECT($B$15&amp;"!E3")</f>
        <v>Vulnerabilities</v>
      </c>
      <c r="E31" s="16" t="s">
        <v>39</v>
      </c>
    </row>
    <row r="32" customFormat="false" ht="15" hidden="false" customHeight="false" outlineLevel="0" collapsed="false">
      <c r="A32" s="16" t="s">
        <v>42</v>
      </c>
      <c r="B32" s="16" t="s">
        <v>37</v>
      </c>
      <c r="C32" s="16" t="s">
        <v>38</v>
      </c>
      <c r="D32" s="9" t="n">
        <f aca="true">INDIRECT($B$15&amp;"!B8")</f>
        <v>48</v>
      </c>
      <c r="E32" s="16" t="s">
        <v>39</v>
      </c>
    </row>
    <row r="33" customFormat="false" ht="15" hidden="false" customHeight="false" outlineLevel="0" collapsed="false">
      <c r="A33" s="16" t="s">
        <v>42</v>
      </c>
      <c r="B33" s="16" t="s">
        <v>37</v>
      </c>
      <c r="C33" s="16" t="s">
        <v>40</v>
      </c>
      <c r="D33" s="16" t="n">
        <f aca="true">INDIRECT($B$15&amp;"!C8")</f>
        <v>6</v>
      </c>
      <c r="E33" s="16" t="s">
        <v>39</v>
      </c>
    </row>
    <row r="34" customFormat="false" ht="15" hidden="false" customHeight="false" outlineLevel="0" collapsed="false">
      <c r="A34" s="16" t="s">
        <v>42</v>
      </c>
      <c r="B34" s="16" t="s">
        <v>41</v>
      </c>
      <c r="C34" s="16" t="s">
        <v>38</v>
      </c>
      <c r="D34" s="16" t="n">
        <f aca="true">INDIRECT($B$15&amp;"!D8")</f>
        <v>8</v>
      </c>
      <c r="E34" s="16" t="s">
        <v>39</v>
      </c>
    </row>
    <row r="35" customFormat="false" ht="68.65" hidden="false" customHeight="false" outlineLevel="0" collapsed="false">
      <c r="A35" s="16" t="s">
        <v>42</v>
      </c>
      <c r="B35" s="16" t="s">
        <v>41</v>
      </c>
      <c r="C35" s="16" t="s">
        <v>40</v>
      </c>
      <c r="D35" s="16" t="str">
        <f aca="true">INDIRECT($B$15&amp;"!E8")</f>
        <v>Tech dependency, satellite vulnerability, solar cycle peak</v>
      </c>
      <c r="E35" s="16" t="s">
        <v>39</v>
      </c>
    </row>
    <row r="37" customFormat="false" ht="15" hidden="false" customHeight="true" outlineLevel="0" collapsed="false">
      <c r="A37" s="10" t="s">
        <v>43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customFormat="false" ht="15" hidden="false" customHeight="false" outlineLevel="0" collapsed="false">
      <c r="A38" s="7" t="s">
        <v>44</v>
      </c>
      <c r="B38" s="7" t="s">
        <v>45</v>
      </c>
      <c r="C38" s="7" t="s">
        <v>46</v>
      </c>
      <c r="D38" s="7" t="s">
        <v>47</v>
      </c>
      <c r="E38" s="7" t="s">
        <v>29</v>
      </c>
    </row>
    <row r="39" customFormat="false" ht="23.85" hidden="false" customHeight="false" outlineLevel="0" collapsed="false">
      <c r="A39" s="16" t="s">
        <v>48</v>
      </c>
      <c r="B39" s="18" t="n">
        <v>90</v>
      </c>
      <c r="C39" s="16" t="n">
        <f aca="false">BarbellTracker!C3</f>
        <v>85</v>
      </c>
      <c r="D39" s="16" t="n">
        <f aca="false">C39-B39</f>
        <v>-5</v>
      </c>
      <c r="E39" s="16" t="str">
        <f aca="false">IF(ABS(D39)&lt;=5,"✓ BALANCED","⚠ ADJUST")</f>
        <v>✓ BALANCED</v>
      </c>
    </row>
    <row r="40" customFormat="false" ht="23.85" hidden="false" customHeight="false" outlineLevel="0" collapsed="false">
      <c r="A40" s="16" t="s">
        <v>49</v>
      </c>
      <c r="B40" s="18" t="n">
        <v>10</v>
      </c>
      <c r="C40" s="16" t="n">
        <f aca="false">BarbellTracker!C4</f>
        <v>15</v>
      </c>
      <c r="D40" s="16" t="n">
        <f aca="false">C40-B40</f>
        <v>5</v>
      </c>
      <c r="E40" s="16" t="str">
        <f aca="false">IF(ABS(D40)&lt;=5,"✓ BALANCED","⚠ ADJUST")</f>
        <v>✓ BALANCED</v>
      </c>
    </row>
    <row r="41" customFormat="false" ht="23.85" hidden="false" customHeight="false" outlineLevel="0" collapsed="false">
      <c r="A41" s="16" t="s">
        <v>50</v>
      </c>
      <c r="B41" s="18" t="n">
        <v>150</v>
      </c>
      <c r="C41" s="16" t="n">
        <f aca="false">BarbellTracker!C5</f>
        <v>145</v>
      </c>
      <c r="D41" s="16" t="n">
        <f aca="false">C41-B41</f>
        <v>-5</v>
      </c>
      <c r="E41" s="16" t="str">
        <f aca="false">IF(ABS(D41)&lt;=10,"✓ ON TRACK","⚠ ADJUST")</f>
        <v>✓ ON TRACK</v>
      </c>
    </row>
  </sheetData>
  <mergeCells count="6">
    <mergeCell ref="A1:R1"/>
    <mergeCell ref="A4:R4"/>
    <mergeCell ref="A14:R14"/>
    <mergeCell ref="A16:R16"/>
    <mergeCell ref="A25:R25"/>
    <mergeCell ref="A37:R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6.85" hidden="false" customHeight="true" outlineLevel="0" collapsed="false">
      <c r="A1" s="19" t="s">
        <v>51</v>
      </c>
      <c r="B1" s="19"/>
      <c r="C1" s="19"/>
      <c r="D1" s="19"/>
    </row>
    <row r="2" customFormat="false" ht="15" hidden="false" customHeight="false" outlineLevel="0" collapsed="false">
      <c r="A2" s="0" t="s">
        <v>52</v>
      </c>
      <c r="B2" s="20" t="n">
        <f aca="false">DATE(1995,1,1)</f>
        <v>34700</v>
      </c>
    </row>
    <row r="3" customFormat="false" ht="15" hidden="false" customHeight="false" outlineLevel="0" collapsed="false">
      <c r="A3" s="0" t="s">
        <v>53</v>
      </c>
      <c r="B3" s="13" t="s">
        <v>54</v>
      </c>
    </row>
    <row r="4" customFormat="false" ht="15" hidden="false" customHeight="false" outlineLevel="0" collapsed="false">
      <c r="A4" s="0" t="s">
        <v>55</v>
      </c>
      <c r="B4" s="13" t="n">
        <v>80</v>
      </c>
    </row>
    <row r="6" customFormat="false" ht="52.2" hidden="false" customHeight="false" outlineLevel="0" collapsed="false">
      <c r="A6" s="7" t="s">
        <v>56</v>
      </c>
    </row>
    <row r="7" customFormat="false" ht="15" hidden="false" customHeight="false" outlineLevel="0" collapsed="false">
      <c r="A7" s="0" t="s">
        <v>57</v>
      </c>
      <c r="B7" s="21" t="n">
        <v>70</v>
      </c>
    </row>
    <row r="8" customFormat="false" ht="15" hidden="false" customHeight="false" outlineLevel="0" collapsed="false">
      <c r="A8" s="0" t="s">
        <v>58</v>
      </c>
      <c r="B8" s="21" t="n">
        <v>40</v>
      </c>
    </row>
    <row r="9" customFormat="false" ht="15" hidden="false" customHeight="false" outlineLevel="0" collapsed="false">
      <c r="A9" s="0" t="s">
        <v>59</v>
      </c>
      <c r="B9" s="21" t="n">
        <v>20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4" min="3" style="0" width="12"/>
    <col collapsed="false" customWidth="true" hidden="false" outlineLevel="0" max="6" min="5" style="0" width="30"/>
    <col collapsed="false" customWidth="true" hidden="false" outlineLevel="0" max="7" min="7" style="0" width="15"/>
  </cols>
  <sheetData>
    <row r="1" customFormat="false" ht="15" hidden="false" customHeight="true" outlineLevel="0" collapsed="false">
      <c r="A1" s="22" t="s">
        <v>60</v>
      </c>
      <c r="B1" s="22"/>
      <c r="C1" s="22"/>
      <c r="D1" s="22"/>
      <c r="E1" s="22"/>
      <c r="F1" s="22"/>
      <c r="G1" s="22"/>
    </row>
    <row r="3" customFormat="false" ht="15" hidden="false" customHeight="false" outlineLevel="0" collapsed="false">
      <c r="A3" s="14" t="s">
        <v>23</v>
      </c>
      <c r="B3" s="14" t="s">
        <v>61</v>
      </c>
      <c r="C3" s="14" t="s">
        <v>62</v>
      </c>
      <c r="D3" s="14" t="s">
        <v>63</v>
      </c>
      <c r="E3" s="14" t="s">
        <v>27</v>
      </c>
      <c r="F3" s="14" t="s">
        <v>64</v>
      </c>
      <c r="G3" s="14" t="s">
        <v>29</v>
      </c>
    </row>
    <row r="4" customFormat="false" ht="22.35" hidden="false" customHeight="false" outlineLevel="0" collapsed="false">
      <c r="A4" s="23" t="s">
        <v>6</v>
      </c>
      <c r="B4" s="24" t="n">
        <f aca="false">C4*D4</f>
        <v>80</v>
      </c>
      <c r="C4" s="25" t="n">
        <v>10</v>
      </c>
      <c r="D4" s="25" t="n">
        <v>8</v>
      </c>
      <c r="E4" s="26" t="s">
        <v>65</v>
      </c>
      <c r="F4" s="26" t="s">
        <v>66</v>
      </c>
      <c r="G4" s="26" t="s">
        <v>67</v>
      </c>
    </row>
    <row r="5" customFormat="false" ht="22.35" hidden="false" customHeight="false" outlineLevel="0" collapsed="false">
      <c r="A5" s="23" t="s">
        <v>7</v>
      </c>
      <c r="B5" s="24" t="n">
        <f aca="false">C5*D5</f>
        <v>63</v>
      </c>
      <c r="C5" s="25" t="n">
        <v>9</v>
      </c>
      <c r="D5" s="25" t="n">
        <v>7</v>
      </c>
      <c r="E5" s="26" t="s">
        <v>68</v>
      </c>
      <c r="F5" s="26" t="s">
        <v>66</v>
      </c>
      <c r="G5" s="26" t="s">
        <v>67</v>
      </c>
    </row>
    <row r="6" customFormat="false" ht="22.35" hidden="false" customHeight="false" outlineLevel="0" collapsed="false">
      <c r="A6" s="23" t="s">
        <v>8</v>
      </c>
      <c r="B6" s="24" t="n">
        <f aca="false">C6*D6</f>
        <v>42</v>
      </c>
      <c r="C6" s="25" t="n">
        <v>7</v>
      </c>
      <c r="D6" s="25" t="n">
        <v>6</v>
      </c>
      <c r="E6" s="26" t="s">
        <v>69</v>
      </c>
      <c r="F6" s="26" t="s">
        <v>66</v>
      </c>
      <c r="G6" s="26" t="s">
        <v>67</v>
      </c>
    </row>
    <row r="7" customFormat="false" ht="22.35" hidden="false" customHeight="false" outlineLevel="0" collapsed="false">
      <c r="A7" s="23" t="s">
        <v>9</v>
      </c>
      <c r="B7" s="24" t="n">
        <f aca="false">C7*D7</f>
        <v>56</v>
      </c>
      <c r="C7" s="25" t="n">
        <v>8</v>
      </c>
      <c r="D7" s="25" t="n">
        <v>7</v>
      </c>
      <c r="E7" s="26" t="s">
        <v>70</v>
      </c>
      <c r="F7" s="26" t="s">
        <v>66</v>
      </c>
      <c r="G7" s="26" t="s">
        <v>67</v>
      </c>
    </row>
    <row r="8" customFormat="false" ht="22.35" hidden="false" customHeight="false" outlineLevel="0" collapsed="false">
      <c r="A8" s="23" t="s">
        <v>10</v>
      </c>
      <c r="B8" s="24" t="n">
        <f aca="false">C8*D8</f>
        <v>48</v>
      </c>
      <c r="C8" s="25" t="n">
        <v>6</v>
      </c>
      <c r="D8" s="25" t="n">
        <v>8</v>
      </c>
      <c r="E8" s="26" t="s">
        <v>71</v>
      </c>
      <c r="F8" s="26" t="s">
        <v>66</v>
      </c>
      <c r="G8" s="26" t="s">
        <v>67</v>
      </c>
    </row>
    <row r="9" customFormat="false" ht="22.35" hidden="false" customHeight="false" outlineLevel="0" collapsed="false">
      <c r="A9" s="23" t="s">
        <v>11</v>
      </c>
      <c r="B9" s="24" t="n">
        <f aca="false">C9*D9</f>
        <v>45</v>
      </c>
      <c r="C9" s="25" t="n">
        <v>5</v>
      </c>
      <c r="D9" s="25" t="n">
        <v>9</v>
      </c>
      <c r="E9" s="26" t="s">
        <v>72</v>
      </c>
      <c r="F9" s="26" t="s">
        <v>66</v>
      </c>
      <c r="G9" s="26" t="s">
        <v>67</v>
      </c>
    </row>
    <row r="11" customFormat="false" ht="15" hidden="false" customHeight="true" outlineLevel="0" collapsed="false">
      <c r="A11" s="27" t="s">
        <v>73</v>
      </c>
      <c r="B11" s="27"/>
      <c r="C11" s="27"/>
      <c r="D11" s="27"/>
      <c r="E11" s="27"/>
      <c r="F11" s="27"/>
      <c r="G11" s="27"/>
    </row>
    <row r="12" customFormat="false" ht="15" hidden="false" customHeight="false" outlineLevel="0" collapsed="false">
      <c r="A12" s="14" t="s">
        <v>23</v>
      </c>
      <c r="B12" s="14" t="s">
        <v>74</v>
      </c>
      <c r="C12" s="14" t="s">
        <v>25</v>
      </c>
      <c r="D12" s="14" t="s">
        <v>75</v>
      </c>
      <c r="E12" s="14" t="s">
        <v>76</v>
      </c>
      <c r="F12" s="14" t="s">
        <v>29</v>
      </c>
      <c r="G12" s="14" t="s">
        <v>77</v>
      </c>
    </row>
    <row r="13" customFormat="false" ht="15" hidden="false" customHeight="false" outlineLevel="0" collapsed="false">
      <c r="A13" s="26" t="s">
        <v>78</v>
      </c>
      <c r="B13" s="26"/>
      <c r="C13" s="26"/>
      <c r="D13" s="26"/>
      <c r="E13" s="26"/>
      <c r="F13" s="26"/>
      <c r="G13" s="26"/>
    </row>
    <row r="14" customFormat="false" ht="15" hidden="false" customHeight="false" outlineLevel="0" collapsed="false">
      <c r="A14" s="26" t="s">
        <v>79</v>
      </c>
      <c r="B14" s="26"/>
      <c r="C14" s="26"/>
      <c r="D14" s="26"/>
      <c r="E14" s="26"/>
      <c r="F14" s="26"/>
      <c r="G14" s="26"/>
    </row>
    <row r="15" customFormat="false" ht="15" hidden="false" customHeight="false" outlineLevel="0" collapsed="false">
      <c r="A15" s="26" t="s">
        <v>80</v>
      </c>
      <c r="B15" s="26"/>
      <c r="C15" s="26"/>
      <c r="D15" s="26"/>
      <c r="E15" s="26"/>
      <c r="F15" s="26"/>
      <c r="G15" s="26"/>
    </row>
    <row r="16" customFormat="false" ht="15" hidden="false" customHeight="false" outlineLevel="0" collapsed="false">
      <c r="A16" s="26" t="s">
        <v>81</v>
      </c>
      <c r="B16" s="26"/>
      <c r="C16" s="26"/>
      <c r="D16" s="26"/>
      <c r="E16" s="26"/>
      <c r="F16" s="26"/>
      <c r="G16" s="26"/>
    </row>
    <row r="17" customFormat="false" ht="15" hidden="false" customHeight="false" outlineLevel="0" collapsed="false">
      <c r="A17" s="26" t="s">
        <v>82</v>
      </c>
      <c r="B17" s="26"/>
      <c r="C17" s="26"/>
      <c r="D17" s="26"/>
      <c r="E17" s="26"/>
      <c r="F17" s="26"/>
      <c r="G17" s="26"/>
    </row>
    <row r="18" customFormat="false" ht="15" hidden="false" customHeight="false" outlineLevel="0" collapsed="false">
      <c r="A18" s="26" t="s">
        <v>83</v>
      </c>
      <c r="B18" s="26"/>
      <c r="C18" s="26"/>
      <c r="D18" s="26"/>
      <c r="E18" s="26"/>
      <c r="F18" s="26"/>
      <c r="G18" s="26"/>
    </row>
    <row r="20" customFormat="false" ht="15" hidden="false" customHeight="true" outlineLevel="0" collapsed="false">
      <c r="A20" s="28" t="s">
        <v>84</v>
      </c>
      <c r="B20" s="28"/>
      <c r="C20" s="28"/>
      <c r="D20" s="28"/>
      <c r="E20" s="28"/>
      <c r="F20" s="28"/>
      <c r="G20" s="28"/>
    </row>
    <row r="21" customFormat="false" ht="15" hidden="false" customHeight="false" outlineLevel="0" collapsed="false">
      <c r="A21" s="14" t="s">
        <v>23</v>
      </c>
      <c r="B21" s="14" t="s">
        <v>85</v>
      </c>
      <c r="C21" s="14" t="s">
        <v>86</v>
      </c>
      <c r="D21" s="14" t="s">
        <v>87</v>
      </c>
      <c r="E21" s="14" t="s">
        <v>88</v>
      </c>
      <c r="F21" s="14" t="s">
        <v>29</v>
      </c>
      <c r="G21" s="14" t="s">
        <v>89</v>
      </c>
    </row>
    <row r="22" customFormat="false" ht="15" hidden="false" customHeight="false" outlineLevel="0" collapsed="false">
      <c r="A22" s="26" t="s">
        <v>78</v>
      </c>
      <c r="B22" s="26"/>
      <c r="C22" s="26"/>
      <c r="D22" s="26"/>
      <c r="E22" s="26"/>
      <c r="F22" s="26"/>
      <c r="G22" s="26"/>
    </row>
    <row r="23" customFormat="false" ht="15" hidden="false" customHeight="false" outlineLevel="0" collapsed="false">
      <c r="A23" s="26" t="s">
        <v>79</v>
      </c>
      <c r="B23" s="26"/>
      <c r="C23" s="26"/>
      <c r="D23" s="26"/>
      <c r="E23" s="26"/>
      <c r="F23" s="26"/>
      <c r="G23" s="26"/>
    </row>
    <row r="24" customFormat="false" ht="15" hidden="false" customHeight="false" outlineLevel="0" collapsed="false">
      <c r="A24" s="26" t="s">
        <v>80</v>
      </c>
      <c r="B24" s="26"/>
      <c r="C24" s="26"/>
      <c r="D24" s="26"/>
      <c r="E24" s="26"/>
      <c r="F24" s="26"/>
      <c r="G24" s="26"/>
    </row>
    <row r="25" customFormat="false" ht="15" hidden="false" customHeight="false" outlineLevel="0" collapsed="false">
      <c r="A25" s="26" t="s">
        <v>81</v>
      </c>
      <c r="B25" s="26"/>
      <c r="C25" s="26"/>
      <c r="D25" s="26"/>
      <c r="E25" s="26"/>
      <c r="F25" s="26"/>
      <c r="G25" s="26"/>
    </row>
    <row r="26" customFormat="false" ht="15" hidden="false" customHeight="false" outlineLevel="0" collapsed="false">
      <c r="A26" s="26" t="s">
        <v>82</v>
      </c>
      <c r="B26" s="26"/>
      <c r="C26" s="26"/>
      <c r="D26" s="26"/>
      <c r="E26" s="26"/>
      <c r="F26" s="26"/>
      <c r="G26" s="26"/>
    </row>
    <row r="27" customFormat="false" ht="15" hidden="false" customHeight="false" outlineLevel="0" collapsed="false">
      <c r="A27" s="26" t="s">
        <v>83</v>
      </c>
      <c r="B27" s="26"/>
      <c r="C27" s="26"/>
      <c r="D27" s="26"/>
      <c r="E27" s="26"/>
      <c r="F27" s="26"/>
      <c r="G27" s="26"/>
    </row>
    <row r="30" customFormat="false" ht="15" hidden="false" customHeight="true" outlineLevel="0" collapsed="false">
      <c r="A30" s="29" t="s">
        <v>90</v>
      </c>
      <c r="B30" s="29"/>
      <c r="C30" s="29"/>
      <c r="D30" s="29"/>
      <c r="E30" s="29"/>
    </row>
    <row r="31" customFormat="false" ht="19.4" hidden="false" customHeight="false" outlineLevel="0" collapsed="false">
      <c r="B31" s="30" t="s">
        <v>91</v>
      </c>
      <c r="C31" s="30" t="s">
        <v>92</v>
      </c>
      <c r="D31" s="30" t="s">
        <v>93</v>
      </c>
      <c r="E31" s="30" t="s">
        <v>94</v>
      </c>
    </row>
    <row r="32" customFormat="false" ht="15" hidden="false" customHeight="false" outlineLevel="0" collapsed="false">
      <c r="A32" s="30" t="s">
        <v>36</v>
      </c>
      <c r="B32" s="26" t="s">
        <v>95</v>
      </c>
      <c r="C32" s="26" t="s">
        <v>95</v>
      </c>
      <c r="D32" s="26" t="s">
        <v>95</v>
      </c>
      <c r="E32" s="26" t="s">
        <v>95</v>
      </c>
    </row>
    <row r="33" customFormat="false" ht="15" hidden="false" customHeight="false" outlineLevel="0" collapsed="false">
      <c r="A33" s="30" t="s">
        <v>42</v>
      </c>
      <c r="B33" s="26" t="s">
        <v>95</v>
      </c>
      <c r="C33" s="26" t="s">
        <v>95</v>
      </c>
      <c r="D33" s="26" t="s">
        <v>95</v>
      </c>
      <c r="E33" s="26" t="s">
        <v>95</v>
      </c>
    </row>
  </sheetData>
  <mergeCells count="4">
    <mergeCell ref="A1:G1"/>
    <mergeCell ref="A11:G11"/>
    <mergeCell ref="A20:G20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4" min="3" style="0" width="12"/>
    <col collapsed="false" customWidth="true" hidden="false" outlineLevel="0" max="6" min="5" style="0" width="30"/>
    <col collapsed="false" customWidth="true" hidden="false" outlineLevel="0" max="7" min="7" style="0" width="15"/>
  </cols>
  <sheetData>
    <row r="1" customFormat="false" ht="15" hidden="false" customHeight="true" outlineLevel="0" collapsed="false">
      <c r="A1" s="31" t="s">
        <v>96</v>
      </c>
      <c r="B1" s="31"/>
      <c r="C1" s="31"/>
      <c r="D1" s="31"/>
      <c r="E1" s="31"/>
      <c r="F1" s="31"/>
      <c r="G1" s="31"/>
    </row>
    <row r="3" customFormat="false" ht="15" hidden="false" customHeight="false" outlineLevel="0" collapsed="false">
      <c r="A3" s="14" t="s">
        <v>23</v>
      </c>
      <c r="B3" s="14" t="s">
        <v>61</v>
      </c>
      <c r="C3" s="14" t="s">
        <v>62</v>
      </c>
      <c r="D3" s="14" t="s">
        <v>63</v>
      </c>
      <c r="E3" s="14" t="s">
        <v>27</v>
      </c>
      <c r="F3" s="14" t="s">
        <v>64</v>
      </c>
      <c r="G3" s="14" t="s">
        <v>29</v>
      </c>
    </row>
    <row r="4" customFormat="false" ht="22.35" hidden="false" customHeight="false" outlineLevel="0" collapsed="false">
      <c r="A4" s="23" t="s">
        <v>6</v>
      </c>
      <c r="B4" s="24" t="n">
        <f aca="false">C4*D4</f>
        <v>80</v>
      </c>
      <c r="C4" s="25" t="n">
        <v>10</v>
      </c>
      <c r="D4" s="25" t="n">
        <v>8</v>
      </c>
      <c r="E4" s="26" t="s">
        <v>97</v>
      </c>
      <c r="F4" s="26" t="s">
        <v>66</v>
      </c>
      <c r="G4" s="26" t="s">
        <v>67</v>
      </c>
    </row>
    <row r="5" customFormat="false" ht="22.35" hidden="false" customHeight="false" outlineLevel="0" collapsed="false">
      <c r="A5" s="23" t="s">
        <v>7</v>
      </c>
      <c r="B5" s="24" t="n">
        <f aca="false">C5*D5</f>
        <v>63</v>
      </c>
      <c r="C5" s="25" t="n">
        <v>9</v>
      </c>
      <c r="D5" s="25" t="n">
        <v>7</v>
      </c>
      <c r="E5" s="26" t="s">
        <v>98</v>
      </c>
      <c r="F5" s="26" t="s">
        <v>66</v>
      </c>
      <c r="G5" s="26" t="s">
        <v>67</v>
      </c>
    </row>
    <row r="6" customFormat="false" ht="22.35" hidden="false" customHeight="false" outlineLevel="0" collapsed="false">
      <c r="A6" s="23" t="s">
        <v>8</v>
      </c>
      <c r="B6" s="24" t="n">
        <f aca="false">C6*D6</f>
        <v>42</v>
      </c>
      <c r="C6" s="25" t="n">
        <v>7</v>
      </c>
      <c r="D6" s="25" t="n">
        <v>6</v>
      </c>
      <c r="E6" s="26" t="s">
        <v>99</v>
      </c>
      <c r="F6" s="26" t="s">
        <v>66</v>
      </c>
      <c r="G6" s="26" t="s">
        <v>67</v>
      </c>
    </row>
    <row r="7" customFormat="false" ht="22.35" hidden="false" customHeight="false" outlineLevel="0" collapsed="false">
      <c r="A7" s="23" t="s">
        <v>9</v>
      </c>
      <c r="B7" s="24" t="n">
        <f aca="false">C7*D7</f>
        <v>56</v>
      </c>
      <c r="C7" s="25" t="n">
        <v>8</v>
      </c>
      <c r="D7" s="25" t="n">
        <v>7</v>
      </c>
      <c r="E7" s="26" t="s">
        <v>100</v>
      </c>
      <c r="F7" s="26" t="s">
        <v>66</v>
      </c>
      <c r="G7" s="26" t="s">
        <v>67</v>
      </c>
    </row>
    <row r="8" customFormat="false" ht="22.35" hidden="false" customHeight="false" outlineLevel="0" collapsed="false">
      <c r="A8" s="23" t="s">
        <v>10</v>
      </c>
      <c r="B8" s="24" t="n">
        <f aca="false">C8*D8</f>
        <v>48</v>
      </c>
      <c r="C8" s="25" t="n">
        <v>6</v>
      </c>
      <c r="D8" s="25" t="n">
        <v>8</v>
      </c>
      <c r="E8" s="26" t="s">
        <v>101</v>
      </c>
      <c r="F8" s="26" t="s">
        <v>66</v>
      </c>
      <c r="G8" s="26" t="s">
        <v>67</v>
      </c>
    </row>
    <row r="9" customFormat="false" ht="22.35" hidden="false" customHeight="false" outlineLevel="0" collapsed="false">
      <c r="A9" s="23" t="s">
        <v>11</v>
      </c>
      <c r="B9" s="24" t="n">
        <f aca="false">C9*D9</f>
        <v>45</v>
      </c>
      <c r="C9" s="25" t="n">
        <v>5</v>
      </c>
      <c r="D9" s="25" t="n">
        <v>9</v>
      </c>
      <c r="E9" s="26" t="s">
        <v>102</v>
      </c>
      <c r="F9" s="26" t="s">
        <v>66</v>
      </c>
      <c r="G9" s="26" t="s">
        <v>67</v>
      </c>
    </row>
    <row r="11" customFormat="false" ht="15" hidden="false" customHeight="true" outlineLevel="0" collapsed="false">
      <c r="A11" s="27" t="s">
        <v>73</v>
      </c>
      <c r="B11" s="27"/>
      <c r="C11" s="27"/>
      <c r="D11" s="27"/>
      <c r="E11" s="27"/>
      <c r="F11" s="27"/>
      <c r="G11" s="27"/>
    </row>
    <row r="12" customFormat="false" ht="15" hidden="false" customHeight="false" outlineLevel="0" collapsed="false">
      <c r="A12" s="14" t="s">
        <v>23</v>
      </c>
      <c r="B12" s="14" t="s">
        <v>74</v>
      </c>
      <c r="C12" s="14" t="s">
        <v>25</v>
      </c>
      <c r="D12" s="14" t="s">
        <v>75</v>
      </c>
      <c r="E12" s="14" t="s">
        <v>76</v>
      </c>
      <c r="F12" s="14" t="s">
        <v>29</v>
      </c>
      <c r="G12" s="14" t="s">
        <v>77</v>
      </c>
    </row>
    <row r="13" customFormat="false" ht="15" hidden="false" customHeight="false" outlineLevel="0" collapsed="false">
      <c r="A13" s="26" t="s">
        <v>78</v>
      </c>
      <c r="B13" s="26"/>
      <c r="C13" s="26"/>
      <c r="D13" s="26"/>
      <c r="E13" s="26"/>
      <c r="F13" s="26"/>
      <c r="G13" s="26"/>
    </row>
    <row r="14" customFormat="false" ht="15" hidden="false" customHeight="false" outlineLevel="0" collapsed="false">
      <c r="A14" s="26" t="s">
        <v>79</v>
      </c>
      <c r="B14" s="26"/>
      <c r="C14" s="26"/>
      <c r="D14" s="26"/>
      <c r="E14" s="26"/>
      <c r="F14" s="26"/>
      <c r="G14" s="26"/>
    </row>
    <row r="15" customFormat="false" ht="15" hidden="false" customHeight="false" outlineLevel="0" collapsed="false">
      <c r="A15" s="26" t="s">
        <v>80</v>
      </c>
      <c r="B15" s="26"/>
      <c r="C15" s="26"/>
      <c r="D15" s="26"/>
      <c r="E15" s="26"/>
      <c r="F15" s="26"/>
      <c r="G15" s="26"/>
    </row>
    <row r="16" customFormat="false" ht="15" hidden="false" customHeight="false" outlineLevel="0" collapsed="false">
      <c r="A16" s="26" t="s">
        <v>81</v>
      </c>
      <c r="B16" s="26"/>
      <c r="C16" s="26"/>
      <c r="D16" s="26"/>
      <c r="E16" s="26"/>
      <c r="F16" s="26"/>
      <c r="G16" s="26"/>
    </row>
    <row r="17" customFormat="false" ht="15" hidden="false" customHeight="false" outlineLevel="0" collapsed="false">
      <c r="A17" s="26" t="s">
        <v>82</v>
      </c>
      <c r="B17" s="26"/>
      <c r="C17" s="26"/>
      <c r="D17" s="26"/>
      <c r="E17" s="26"/>
      <c r="F17" s="26"/>
      <c r="G17" s="26"/>
    </row>
    <row r="18" customFormat="false" ht="15" hidden="false" customHeight="false" outlineLevel="0" collapsed="false">
      <c r="A18" s="26" t="s">
        <v>83</v>
      </c>
      <c r="B18" s="26"/>
      <c r="C18" s="26"/>
      <c r="D18" s="26"/>
      <c r="E18" s="26"/>
      <c r="F18" s="26"/>
      <c r="G18" s="26"/>
    </row>
    <row r="20" customFormat="false" ht="15" hidden="false" customHeight="true" outlineLevel="0" collapsed="false">
      <c r="A20" s="28" t="s">
        <v>84</v>
      </c>
      <c r="B20" s="28"/>
      <c r="C20" s="28"/>
      <c r="D20" s="28"/>
      <c r="E20" s="28"/>
      <c r="F20" s="28"/>
      <c r="G20" s="28"/>
    </row>
    <row r="21" customFormat="false" ht="15" hidden="false" customHeight="false" outlineLevel="0" collapsed="false">
      <c r="A21" s="14" t="s">
        <v>23</v>
      </c>
      <c r="B21" s="14" t="s">
        <v>85</v>
      </c>
      <c r="C21" s="14" t="s">
        <v>86</v>
      </c>
      <c r="D21" s="14" t="s">
        <v>87</v>
      </c>
      <c r="E21" s="14" t="s">
        <v>88</v>
      </c>
      <c r="F21" s="14" t="s">
        <v>29</v>
      </c>
      <c r="G21" s="14" t="s">
        <v>89</v>
      </c>
    </row>
    <row r="22" customFormat="false" ht="15" hidden="false" customHeight="false" outlineLevel="0" collapsed="false">
      <c r="A22" s="26" t="s">
        <v>78</v>
      </c>
      <c r="B22" s="26"/>
      <c r="C22" s="26"/>
      <c r="D22" s="26"/>
      <c r="E22" s="26"/>
      <c r="F22" s="26"/>
      <c r="G22" s="26"/>
    </row>
    <row r="23" customFormat="false" ht="15" hidden="false" customHeight="false" outlineLevel="0" collapsed="false">
      <c r="A23" s="26" t="s">
        <v>79</v>
      </c>
      <c r="B23" s="26"/>
      <c r="C23" s="26"/>
      <c r="D23" s="26"/>
      <c r="E23" s="26"/>
      <c r="F23" s="26"/>
      <c r="G23" s="26"/>
    </row>
    <row r="24" customFormat="false" ht="15" hidden="false" customHeight="false" outlineLevel="0" collapsed="false">
      <c r="A24" s="26" t="s">
        <v>80</v>
      </c>
      <c r="B24" s="26"/>
      <c r="C24" s="26"/>
      <c r="D24" s="26"/>
      <c r="E24" s="26"/>
      <c r="F24" s="26"/>
      <c r="G24" s="26"/>
    </row>
    <row r="25" customFormat="false" ht="15" hidden="false" customHeight="false" outlineLevel="0" collapsed="false">
      <c r="A25" s="26" t="s">
        <v>81</v>
      </c>
      <c r="B25" s="26"/>
      <c r="C25" s="26"/>
      <c r="D25" s="26"/>
      <c r="E25" s="26"/>
      <c r="F25" s="26"/>
      <c r="G25" s="26"/>
    </row>
    <row r="26" customFormat="false" ht="15" hidden="false" customHeight="false" outlineLevel="0" collapsed="false">
      <c r="A26" s="26" t="s">
        <v>82</v>
      </c>
      <c r="B26" s="26"/>
      <c r="C26" s="26"/>
      <c r="D26" s="26"/>
      <c r="E26" s="26"/>
      <c r="F26" s="26"/>
      <c r="G26" s="26"/>
    </row>
    <row r="27" customFormat="false" ht="15" hidden="false" customHeight="false" outlineLevel="0" collapsed="false">
      <c r="A27" s="26" t="s">
        <v>83</v>
      </c>
      <c r="B27" s="26"/>
      <c r="C27" s="26"/>
      <c r="D27" s="26"/>
      <c r="E27" s="26"/>
      <c r="F27" s="26"/>
      <c r="G27" s="26"/>
    </row>
    <row r="30" customFormat="false" ht="15" hidden="false" customHeight="true" outlineLevel="0" collapsed="false">
      <c r="A30" s="29" t="s">
        <v>90</v>
      </c>
      <c r="B30" s="29"/>
      <c r="C30" s="29"/>
      <c r="D30" s="29"/>
      <c r="E30" s="29"/>
    </row>
    <row r="31" customFormat="false" ht="19.4" hidden="false" customHeight="false" outlineLevel="0" collapsed="false">
      <c r="B31" s="30" t="s">
        <v>91</v>
      </c>
      <c r="C31" s="30" t="s">
        <v>92</v>
      </c>
      <c r="D31" s="30" t="s">
        <v>93</v>
      </c>
      <c r="E31" s="30" t="s">
        <v>94</v>
      </c>
    </row>
    <row r="32" customFormat="false" ht="15" hidden="false" customHeight="false" outlineLevel="0" collapsed="false">
      <c r="A32" s="30" t="s">
        <v>36</v>
      </c>
      <c r="B32" s="26" t="s">
        <v>95</v>
      </c>
      <c r="C32" s="26" t="s">
        <v>95</v>
      </c>
      <c r="D32" s="26" t="s">
        <v>95</v>
      </c>
      <c r="E32" s="26" t="s">
        <v>95</v>
      </c>
    </row>
    <row r="33" customFormat="false" ht="15" hidden="false" customHeight="false" outlineLevel="0" collapsed="false">
      <c r="A33" s="30" t="s">
        <v>42</v>
      </c>
      <c r="B33" s="26" t="s">
        <v>95</v>
      </c>
      <c r="C33" s="26" t="s">
        <v>95</v>
      </c>
      <c r="D33" s="26" t="s">
        <v>95</v>
      </c>
      <c r="E33" s="26" t="s">
        <v>95</v>
      </c>
    </row>
  </sheetData>
  <mergeCells count="4">
    <mergeCell ref="A1:G1"/>
    <mergeCell ref="A11:G11"/>
    <mergeCell ref="A20:G20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4" min="3" style="0" width="12"/>
    <col collapsed="false" customWidth="true" hidden="false" outlineLevel="0" max="6" min="5" style="0" width="30"/>
    <col collapsed="false" customWidth="true" hidden="false" outlineLevel="0" max="7" min="7" style="0" width="15"/>
  </cols>
  <sheetData>
    <row r="1" customFormat="false" ht="15" hidden="false" customHeight="true" outlineLevel="0" collapsed="false">
      <c r="A1" s="32" t="s">
        <v>103</v>
      </c>
      <c r="B1" s="32"/>
      <c r="C1" s="32"/>
      <c r="D1" s="32"/>
      <c r="E1" s="32"/>
      <c r="F1" s="32"/>
      <c r="G1" s="32"/>
    </row>
    <row r="3" customFormat="false" ht="15" hidden="false" customHeight="false" outlineLevel="0" collapsed="false">
      <c r="A3" s="14" t="s">
        <v>23</v>
      </c>
      <c r="B3" s="14" t="s">
        <v>61</v>
      </c>
      <c r="C3" s="14" t="s">
        <v>62</v>
      </c>
      <c r="D3" s="14" t="s">
        <v>63</v>
      </c>
      <c r="E3" s="14" t="s">
        <v>27</v>
      </c>
      <c r="F3" s="14" t="s">
        <v>64</v>
      </c>
      <c r="G3" s="14" t="s">
        <v>29</v>
      </c>
    </row>
    <row r="4" customFormat="false" ht="22.35" hidden="false" customHeight="false" outlineLevel="0" collapsed="false">
      <c r="A4" s="23" t="s">
        <v>6</v>
      </c>
      <c r="B4" s="24" t="n">
        <f aca="false">C4*D4</f>
        <v>80</v>
      </c>
      <c r="C4" s="25" t="n">
        <v>10</v>
      </c>
      <c r="D4" s="25" t="n">
        <v>8</v>
      </c>
      <c r="E4" s="26" t="s">
        <v>104</v>
      </c>
      <c r="F4" s="26" t="s">
        <v>66</v>
      </c>
      <c r="G4" s="26" t="s">
        <v>67</v>
      </c>
    </row>
    <row r="5" customFormat="false" ht="15" hidden="false" customHeight="false" outlineLevel="0" collapsed="false">
      <c r="A5" s="23" t="s">
        <v>7</v>
      </c>
      <c r="B5" s="24" t="n">
        <f aca="false">C5*D5</f>
        <v>63</v>
      </c>
      <c r="C5" s="25" t="n">
        <v>9</v>
      </c>
      <c r="D5" s="25" t="n">
        <v>7</v>
      </c>
      <c r="E5" s="26" t="s">
        <v>105</v>
      </c>
      <c r="F5" s="26" t="s">
        <v>66</v>
      </c>
      <c r="G5" s="26" t="s">
        <v>67</v>
      </c>
    </row>
    <row r="6" customFormat="false" ht="22.35" hidden="false" customHeight="false" outlineLevel="0" collapsed="false">
      <c r="A6" s="23" t="s">
        <v>8</v>
      </c>
      <c r="B6" s="24" t="n">
        <f aca="false">C6*D6</f>
        <v>42</v>
      </c>
      <c r="C6" s="25" t="n">
        <v>7</v>
      </c>
      <c r="D6" s="25" t="n">
        <v>6</v>
      </c>
      <c r="E6" s="26" t="s">
        <v>106</v>
      </c>
      <c r="F6" s="26" t="s">
        <v>66</v>
      </c>
      <c r="G6" s="26" t="s">
        <v>67</v>
      </c>
    </row>
    <row r="7" customFormat="false" ht="22.35" hidden="false" customHeight="false" outlineLevel="0" collapsed="false">
      <c r="A7" s="23" t="s">
        <v>9</v>
      </c>
      <c r="B7" s="24" t="n">
        <f aca="false">C7*D7</f>
        <v>56</v>
      </c>
      <c r="C7" s="25" t="n">
        <v>8</v>
      </c>
      <c r="D7" s="25" t="n">
        <v>7</v>
      </c>
      <c r="E7" s="26" t="s">
        <v>107</v>
      </c>
      <c r="F7" s="26" t="s">
        <v>66</v>
      </c>
      <c r="G7" s="26" t="s">
        <v>67</v>
      </c>
    </row>
    <row r="8" customFormat="false" ht="22.35" hidden="false" customHeight="false" outlineLevel="0" collapsed="false">
      <c r="A8" s="23" t="s">
        <v>10</v>
      </c>
      <c r="B8" s="24" t="n">
        <f aca="false">C8*D8</f>
        <v>48</v>
      </c>
      <c r="C8" s="25" t="n">
        <v>6</v>
      </c>
      <c r="D8" s="25" t="n">
        <v>8</v>
      </c>
      <c r="E8" s="26" t="s">
        <v>108</v>
      </c>
      <c r="F8" s="26" t="s">
        <v>66</v>
      </c>
      <c r="G8" s="26" t="s">
        <v>67</v>
      </c>
    </row>
    <row r="9" customFormat="false" ht="22.35" hidden="false" customHeight="false" outlineLevel="0" collapsed="false">
      <c r="A9" s="23" t="s">
        <v>11</v>
      </c>
      <c r="B9" s="24" t="n">
        <f aca="false">C9*D9</f>
        <v>45</v>
      </c>
      <c r="C9" s="25" t="n">
        <v>5</v>
      </c>
      <c r="D9" s="25" t="n">
        <v>9</v>
      </c>
      <c r="E9" s="26" t="s">
        <v>109</v>
      </c>
      <c r="F9" s="26" t="s">
        <v>66</v>
      </c>
      <c r="G9" s="26" t="s">
        <v>67</v>
      </c>
    </row>
    <row r="11" customFormat="false" ht="15" hidden="false" customHeight="true" outlineLevel="0" collapsed="false">
      <c r="A11" s="27" t="s">
        <v>73</v>
      </c>
      <c r="B11" s="27"/>
      <c r="C11" s="27"/>
      <c r="D11" s="27"/>
      <c r="E11" s="27"/>
      <c r="F11" s="27"/>
      <c r="G11" s="27"/>
    </row>
    <row r="12" customFormat="false" ht="15" hidden="false" customHeight="false" outlineLevel="0" collapsed="false">
      <c r="A12" s="14" t="s">
        <v>23</v>
      </c>
      <c r="B12" s="14" t="s">
        <v>74</v>
      </c>
      <c r="C12" s="14" t="s">
        <v>25</v>
      </c>
      <c r="D12" s="14" t="s">
        <v>75</v>
      </c>
      <c r="E12" s="14" t="s">
        <v>76</v>
      </c>
      <c r="F12" s="14" t="s">
        <v>29</v>
      </c>
      <c r="G12" s="14" t="s">
        <v>77</v>
      </c>
    </row>
    <row r="13" customFormat="false" ht="15" hidden="false" customHeight="false" outlineLevel="0" collapsed="false">
      <c r="A13" s="26" t="s">
        <v>78</v>
      </c>
      <c r="B13" s="26"/>
      <c r="C13" s="26"/>
      <c r="D13" s="26"/>
      <c r="E13" s="26"/>
      <c r="F13" s="26"/>
      <c r="G13" s="26"/>
    </row>
    <row r="14" customFormat="false" ht="15" hidden="false" customHeight="false" outlineLevel="0" collapsed="false">
      <c r="A14" s="26" t="s">
        <v>79</v>
      </c>
      <c r="B14" s="26"/>
      <c r="C14" s="26"/>
      <c r="D14" s="26"/>
      <c r="E14" s="26"/>
      <c r="F14" s="26"/>
      <c r="G14" s="26"/>
    </row>
    <row r="15" customFormat="false" ht="15" hidden="false" customHeight="false" outlineLevel="0" collapsed="false">
      <c r="A15" s="26" t="s">
        <v>80</v>
      </c>
      <c r="B15" s="26"/>
      <c r="C15" s="26"/>
      <c r="D15" s="26"/>
      <c r="E15" s="26"/>
      <c r="F15" s="26"/>
      <c r="G15" s="26"/>
    </row>
    <row r="16" customFormat="false" ht="15" hidden="false" customHeight="false" outlineLevel="0" collapsed="false">
      <c r="A16" s="26" t="s">
        <v>81</v>
      </c>
      <c r="B16" s="26"/>
      <c r="C16" s="26"/>
      <c r="D16" s="26"/>
      <c r="E16" s="26"/>
      <c r="F16" s="26"/>
      <c r="G16" s="26"/>
    </row>
    <row r="17" customFormat="false" ht="15" hidden="false" customHeight="false" outlineLevel="0" collapsed="false">
      <c r="A17" s="26" t="s">
        <v>82</v>
      </c>
      <c r="B17" s="26"/>
      <c r="C17" s="26"/>
      <c r="D17" s="26"/>
      <c r="E17" s="26"/>
      <c r="F17" s="26"/>
      <c r="G17" s="26"/>
    </row>
    <row r="18" customFormat="false" ht="15" hidden="false" customHeight="false" outlineLevel="0" collapsed="false">
      <c r="A18" s="26" t="s">
        <v>83</v>
      </c>
      <c r="B18" s="26"/>
      <c r="C18" s="26"/>
      <c r="D18" s="26"/>
      <c r="E18" s="26"/>
      <c r="F18" s="26"/>
      <c r="G18" s="26"/>
    </row>
    <row r="20" customFormat="false" ht="15" hidden="false" customHeight="true" outlineLevel="0" collapsed="false">
      <c r="A20" s="28" t="s">
        <v>84</v>
      </c>
      <c r="B20" s="28"/>
      <c r="C20" s="28"/>
      <c r="D20" s="28"/>
      <c r="E20" s="28"/>
      <c r="F20" s="28"/>
      <c r="G20" s="28"/>
    </row>
    <row r="21" customFormat="false" ht="15" hidden="false" customHeight="false" outlineLevel="0" collapsed="false">
      <c r="A21" s="14" t="s">
        <v>23</v>
      </c>
      <c r="B21" s="14" t="s">
        <v>85</v>
      </c>
      <c r="C21" s="14" t="s">
        <v>86</v>
      </c>
      <c r="D21" s="14" t="s">
        <v>87</v>
      </c>
      <c r="E21" s="14" t="s">
        <v>88</v>
      </c>
      <c r="F21" s="14" t="s">
        <v>29</v>
      </c>
      <c r="G21" s="14" t="s">
        <v>89</v>
      </c>
    </row>
    <row r="22" customFormat="false" ht="15" hidden="false" customHeight="false" outlineLevel="0" collapsed="false">
      <c r="A22" s="26" t="s">
        <v>78</v>
      </c>
      <c r="B22" s="26"/>
      <c r="C22" s="26"/>
      <c r="D22" s="26"/>
      <c r="E22" s="26"/>
      <c r="F22" s="26"/>
      <c r="G22" s="26"/>
    </row>
    <row r="23" customFormat="false" ht="15" hidden="false" customHeight="false" outlineLevel="0" collapsed="false">
      <c r="A23" s="26" t="s">
        <v>79</v>
      </c>
      <c r="B23" s="26"/>
      <c r="C23" s="26"/>
      <c r="D23" s="26"/>
      <c r="E23" s="26"/>
      <c r="F23" s="26"/>
      <c r="G23" s="26"/>
    </row>
    <row r="24" customFormat="false" ht="15" hidden="false" customHeight="false" outlineLevel="0" collapsed="false">
      <c r="A24" s="26" t="s">
        <v>80</v>
      </c>
      <c r="B24" s="26"/>
      <c r="C24" s="26"/>
      <c r="D24" s="26"/>
      <c r="E24" s="26"/>
      <c r="F24" s="26"/>
      <c r="G24" s="26"/>
    </row>
    <row r="25" customFormat="false" ht="15" hidden="false" customHeight="false" outlineLevel="0" collapsed="false">
      <c r="A25" s="26" t="s">
        <v>81</v>
      </c>
      <c r="B25" s="26"/>
      <c r="C25" s="26"/>
      <c r="D25" s="26"/>
      <c r="E25" s="26"/>
      <c r="F25" s="26"/>
      <c r="G25" s="26"/>
    </row>
    <row r="26" customFormat="false" ht="15" hidden="false" customHeight="false" outlineLevel="0" collapsed="false">
      <c r="A26" s="26" t="s">
        <v>82</v>
      </c>
      <c r="B26" s="26"/>
      <c r="C26" s="26"/>
      <c r="D26" s="26"/>
      <c r="E26" s="26"/>
      <c r="F26" s="26"/>
      <c r="G26" s="26"/>
    </row>
    <row r="27" customFormat="false" ht="15" hidden="false" customHeight="false" outlineLevel="0" collapsed="false">
      <c r="A27" s="26" t="s">
        <v>83</v>
      </c>
      <c r="B27" s="26"/>
      <c r="C27" s="26"/>
      <c r="D27" s="26"/>
      <c r="E27" s="26"/>
      <c r="F27" s="26"/>
      <c r="G27" s="26"/>
    </row>
    <row r="30" customFormat="false" ht="15" hidden="false" customHeight="true" outlineLevel="0" collapsed="false">
      <c r="A30" s="29" t="s">
        <v>90</v>
      </c>
      <c r="B30" s="29"/>
      <c r="C30" s="29"/>
      <c r="D30" s="29"/>
      <c r="E30" s="29"/>
    </row>
    <row r="31" customFormat="false" ht="19.4" hidden="false" customHeight="false" outlineLevel="0" collapsed="false">
      <c r="B31" s="30" t="s">
        <v>91</v>
      </c>
      <c r="C31" s="30" t="s">
        <v>92</v>
      </c>
      <c r="D31" s="30" t="s">
        <v>93</v>
      </c>
      <c r="E31" s="30" t="s">
        <v>94</v>
      </c>
    </row>
    <row r="32" customFormat="false" ht="15" hidden="false" customHeight="false" outlineLevel="0" collapsed="false">
      <c r="A32" s="30" t="s">
        <v>36</v>
      </c>
      <c r="B32" s="26" t="s">
        <v>95</v>
      </c>
      <c r="C32" s="26" t="s">
        <v>95</v>
      </c>
      <c r="D32" s="26" t="s">
        <v>95</v>
      </c>
      <c r="E32" s="26" t="s">
        <v>95</v>
      </c>
    </row>
    <row r="33" customFormat="false" ht="15" hidden="false" customHeight="false" outlineLevel="0" collapsed="false">
      <c r="A33" s="30" t="s">
        <v>42</v>
      </c>
      <c r="B33" s="26" t="s">
        <v>95</v>
      </c>
      <c r="C33" s="26" t="s">
        <v>95</v>
      </c>
      <c r="D33" s="26" t="s">
        <v>95</v>
      </c>
      <c r="E33" s="26" t="s">
        <v>95</v>
      </c>
    </row>
  </sheetData>
  <mergeCells count="4">
    <mergeCell ref="A1:G1"/>
    <mergeCell ref="A11:G11"/>
    <mergeCell ref="A20:G20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4" min="3" style="0" width="12"/>
    <col collapsed="false" customWidth="true" hidden="false" outlineLevel="0" max="6" min="5" style="0" width="30"/>
    <col collapsed="false" customWidth="true" hidden="false" outlineLevel="0" max="7" min="7" style="0" width="15"/>
  </cols>
  <sheetData>
    <row r="1" customFormat="false" ht="15" hidden="false" customHeight="true" outlineLevel="0" collapsed="false">
      <c r="A1" s="33" t="s">
        <v>110</v>
      </c>
      <c r="B1" s="33"/>
      <c r="C1" s="33"/>
      <c r="D1" s="33"/>
      <c r="E1" s="33"/>
      <c r="F1" s="33"/>
      <c r="G1" s="33"/>
    </row>
    <row r="3" customFormat="false" ht="15" hidden="false" customHeight="false" outlineLevel="0" collapsed="false">
      <c r="A3" s="14" t="s">
        <v>23</v>
      </c>
      <c r="B3" s="14" t="s">
        <v>61</v>
      </c>
      <c r="C3" s="14" t="s">
        <v>62</v>
      </c>
      <c r="D3" s="14" t="s">
        <v>63</v>
      </c>
      <c r="E3" s="14" t="s">
        <v>27</v>
      </c>
      <c r="F3" s="14" t="s">
        <v>64</v>
      </c>
      <c r="G3" s="14" t="s">
        <v>29</v>
      </c>
    </row>
    <row r="4" customFormat="false" ht="22.35" hidden="false" customHeight="false" outlineLevel="0" collapsed="false">
      <c r="A4" s="23" t="s">
        <v>6</v>
      </c>
      <c r="B4" s="24" t="n">
        <f aca="false">C4*D4</f>
        <v>80</v>
      </c>
      <c r="C4" s="25" t="n">
        <v>10</v>
      </c>
      <c r="D4" s="25" t="n">
        <v>8</v>
      </c>
      <c r="E4" s="26" t="s">
        <v>111</v>
      </c>
      <c r="F4" s="26" t="s">
        <v>66</v>
      </c>
      <c r="G4" s="26" t="s">
        <v>67</v>
      </c>
    </row>
    <row r="5" customFormat="false" ht="15" hidden="false" customHeight="false" outlineLevel="0" collapsed="false">
      <c r="A5" s="23" t="s">
        <v>7</v>
      </c>
      <c r="B5" s="24" t="n">
        <f aca="false">C5*D5</f>
        <v>63</v>
      </c>
      <c r="C5" s="25" t="n">
        <v>9</v>
      </c>
      <c r="D5" s="25" t="n">
        <v>7</v>
      </c>
      <c r="E5" s="26" t="s">
        <v>112</v>
      </c>
      <c r="F5" s="26" t="s">
        <v>66</v>
      </c>
      <c r="G5" s="26" t="s">
        <v>67</v>
      </c>
    </row>
    <row r="6" customFormat="false" ht="15" hidden="false" customHeight="false" outlineLevel="0" collapsed="false">
      <c r="A6" s="23" t="s">
        <v>8</v>
      </c>
      <c r="B6" s="24" t="n">
        <f aca="false">C6*D6</f>
        <v>42</v>
      </c>
      <c r="C6" s="25" t="n">
        <v>7</v>
      </c>
      <c r="D6" s="25" t="n">
        <v>6</v>
      </c>
      <c r="E6" s="26" t="s">
        <v>113</v>
      </c>
      <c r="F6" s="26" t="s">
        <v>66</v>
      </c>
      <c r="G6" s="26" t="s">
        <v>67</v>
      </c>
    </row>
    <row r="7" customFormat="false" ht="22.35" hidden="false" customHeight="false" outlineLevel="0" collapsed="false">
      <c r="A7" s="23" t="s">
        <v>9</v>
      </c>
      <c r="B7" s="24" t="n">
        <f aca="false">C7*D7</f>
        <v>56</v>
      </c>
      <c r="C7" s="25" t="n">
        <v>8</v>
      </c>
      <c r="D7" s="25" t="n">
        <v>7</v>
      </c>
      <c r="E7" s="26" t="s">
        <v>114</v>
      </c>
      <c r="F7" s="26" t="s">
        <v>66</v>
      </c>
      <c r="G7" s="26" t="s">
        <v>67</v>
      </c>
    </row>
    <row r="8" customFormat="false" ht="22.35" hidden="false" customHeight="false" outlineLevel="0" collapsed="false">
      <c r="A8" s="23" t="s">
        <v>10</v>
      </c>
      <c r="B8" s="24" t="n">
        <f aca="false">C8*D8</f>
        <v>48</v>
      </c>
      <c r="C8" s="25" t="n">
        <v>6</v>
      </c>
      <c r="D8" s="25" t="n">
        <v>8</v>
      </c>
      <c r="E8" s="26" t="s">
        <v>115</v>
      </c>
      <c r="F8" s="26" t="s">
        <v>66</v>
      </c>
      <c r="G8" s="26" t="s">
        <v>67</v>
      </c>
    </row>
    <row r="9" customFormat="false" ht="22.35" hidden="false" customHeight="false" outlineLevel="0" collapsed="false">
      <c r="A9" s="23" t="s">
        <v>11</v>
      </c>
      <c r="B9" s="24" t="n">
        <f aca="false">C9*D9</f>
        <v>45</v>
      </c>
      <c r="C9" s="25" t="n">
        <v>5</v>
      </c>
      <c r="D9" s="25" t="n">
        <v>9</v>
      </c>
      <c r="E9" s="26" t="s">
        <v>116</v>
      </c>
      <c r="F9" s="26" t="s">
        <v>66</v>
      </c>
      <c r="G9" s="26" t="s">
        <v>67</v>
      </c>
    </row>
    <row r="11" customFormat="false" ht="15" hidden="false" customHeight="true" outlineLevel="0" collapsed="false">
      <c r="A11" s="27" t="s">
        <v>73</v>
      </c>
      <c r="B11" s="27"/>
      <c r="C11" s="27"/>
      <c r="D11" s="27"/>
      <c r="E11" s="27"/>
      <c r="F11" s="27"/>
      <c r="G11" s="27"/>
    </row>
    <row r="12" customFormat="false" ht="15" hidden="false" customHeight="false" outlineLevel="0" collapsed="false">
      <c r="A12" s="14" t="s">
        <v>23</v>
      </c>
      <c r="B12" s="14" t="s">
        <v>74</v>
      </c>
      <c r="C12" s="14" t="s">
        <v>25</v>
      </c>
      <c r="D12" s="14" t="s">
        <v>75</v>
      </c>
      <c r="E12" s="14" t="s">
        <v>76</v>
      </c>
      <c r="F12" s="14" t="s">
        <v>29</v>
      </c>
      <c r="G12" s="14" t="s">
        <v>77</v>
      </c>
    </row>
    <row r="13" customFormat="false" ht="15" hidden="false" customHeight="false" outlineLevel="0" collapsed="false">
      <c r="A13" s="26" t="s">
        <v>78</v>
      </c>
      <c r="B13" s="26"/>
      <c r="C13" s="26"/>
      <c r="D13" s="26"/>
      <c r="E13" s="26"/>
      <c r="F13" s="26"/>
      <c r="G13" s="26"/>
    </row>
    <row r="14" customFormat="false" ht="15" hidden="false" customHeight="false" outlineLevel="0" collapsed="false">
      <c r="A14" s="26" t="s">
        <v>79</v>
      </c>
      <c r="B14" s="26"/>
      <c r="C14" s="26"/>
      <c r="D14" s="26"/>
      <c r="E14" s="26"/>
      <c r="F14" s="26"/>
      <c r="G14" s="26"/>
    </row>
    <row r="15" customFormat="false" ht="15" hidden="false" customHeight="false" outlineLevel="0" collapsed="false">
      <c r="A15" s="26" t="s">
        <v>80</v>
      </c>
      <c r="B15" s="26"/>
      <c r="C15" s="26"/>
      <c r="D15" s="26"/>
      <c r="E15" s="26"/>
      <c r="F15" s="26"/>
      <c r="G15" s="26"/>
    </row>
    <row r="16" customFormat="false" ht="15" hidden="false" customHeight="false" outlineLevel="0" collapsed="false">
      <c r="A16" s="26" t="s">
        <v>81</v>
      </c>
      <c r="B16" s="26"/>
      <c r="C16" s="26"/>
      <c r="D16" s="26"/>
      <c r="E16" s="26"/>
      <c r="F16" s="26"/>
      <c r="G16" s="26"/>
    </row>
    <row r="17" customFormat="false" ht="15" hidden="false" customHeight="false" outlineLevel="0" collapsed="false">
      <c r="A17" s="26" t="s">
        <v>82</v>
      </c>
      <c r="B17" s="26"/>
      <c r="C17" s="26"/>
      <c r="D17" s="26"/>
      <c r="E17" s="26"/>
      <c r="F17" s="26"/>
      <c r="G17" s="26"/>
    </row>
    <row r="18" customFormat="false" ht="15" hidden="false" customHeight="false" outlineLevel="0" collapsed="false">
      <c r="A18" s="26" t="s">
        <v>83</v>
      </c>
      <c r="B18" s="26"/>
      <c r="C18" s="26"/>
      <c r="D18" s="26"/>
      <c r="E18" s="26"/>
      <c r="F18" s="26"/>
      <c r="G18" s="26"/>
    </row>
    <row r="20" customFormat="false" ht="15" hidden="false" customHeight="true" outlineLevel="0" collapsed="false">
      <c r="A20" s="28" t="s">
        <v>84</v>
      </c>
      <c r="B20" s="28"/>
      <c r="C20" s="28"/>
      <c r="D20" s="28"/>
      <c r="E20" s="28"/>
      <c r="F20" s="28"/>
      <c r="G20" s="28"/>
    </row>
    <row r="21" customFormat="false" ht="15" hidden="false" customHeight="false" outlineLevel="0" collapsed="false">
      <c r="A21" s="14" t="s">
        <v>23</v>
      </c>
      <c r="B21" s="14" t="s">
        <v>85</v>
      </c>
      <c r="C21" s="14" t="s">
        <v>86</v>
      </c>
      <c r="D21" s="14" t="s">
        <v>87</v>
      </c>
      <c r="E21" s="14" t="s">
        <v>88</v>
      </c>
      <c r="F21" s="14" t="s">
        <v>29</v>
      </c>
      <c r="G21" s="14" t="s">
        <v>89</v>
      </c>
    </row>
    <row r="22" customFormat="false" ht="15" hidden="false" customHeight="false" outlineLevel="0" collapsed="false">
      <c r="A22" s="26" t="s">
        <v>78</v>
      </c>
      <c r="B22" s="26"/>
      <c r="C22" s="26"/>
      <c r="D22" s="26"/>
      <c r="E22" s="26"/>
      <c r="F22" s="26"/>
      <c r="G22" s="26"/>
    </row>
    <row r="23" customFormat="false" ht="15" hidden="false" customHeight="false" outlineLevel="0" collapsed="false">
      <c r="A23" s="26" t="s">
        <v>79</v>
      </c>
      <c r="B23" s="26"/>
      <c r="C23" s="26"/>
      <c r="D23" s="26"/>
      <c r="E23" s="26"/>
      <c r="F23" s="26"/>
      <c r="G23" s="26"/>
    </row>
    <row r="24" customFormat="false" ht="15" hidden="false" customHeight="false" outlineLevel="0" collapsed="false">
      <c r="A24" s="26" t="s">
        <v>80</v>
      </c>
      <c r="B24" s="26"/>
      <c r="C24" s="26"/>
      <c r="D24" s="26"/>
      <c r="E24" s="26"/>
      <c r="F24" s="26"/>
      <c r="G24" s="26"/>
    </row>
    <row r="25" customFormat="false" ht="15" hidden="false" customHeight="false" outlineLevel="0" collapsed="false">
      <c r="A25" s="26" t="s">
        <v>81</v>
      </c>
      <c r="B25" s="26"/>
      <c r="C25" s="26"/>
      <c r="D25" s="26"/>
      <c r="E25" s="26"/>
      <c r="F25" s="26"/>
      <c r="G25" s="26"/>
    </row>
    <row r="26" customFormat="false" ht="15" hidden="false" customHeight="false" outlineLevel="0" collapsed="false">
      <c r="A26" s="26" t="s">
        <v>82</v>
      </c>
      <c r="B26" s="26"/>
      <c r="C26" s="26"/>
      <c r="D26" s="26"/>
      <c r="E26" s="26"/>
      <c r="F26" s="26"/>
      <c r="G26" s="26"/>
    </row>
    <row r="27" customFormat="false" ht="15" hidden="false" customHeight="false" outlineLevel="0" collapsed="false">
      <c r="A27" s="26" t="s">
        <v>83</v>
      </c>
      <c r="B27" s="26"/>
      <c r="C27" s="26"/>
      <c r="D27" s="26"/>
      <c r="E27" s="26"/>
      <c r="F27" s="26"/>
      <c r="G27" s="26"/>
    </row>
    <row r="30" customFormat="false" ht="15" hidden="false" customHeight="true" outlineLevel="0" collapsed="false">
      <c r="A30" s="29" t="s">
        <v>90</v>
      </c>
      <c r="B30" s="29"/>
      <c r="C30" s="29"/>
      <c r="D30" s="29"/>
      <c r="E30" s="29"/>
    </row>
    <row r="31" customFormat="false" ht="19.4" hidden="false" customHeight="false" outlineLevel="0" collapsed="false">
      <c r="B31" s="30" t="s">
        <v>91</v>
      </c>
      <c r="C31" s="30" t="s">
        <v>92</v>
      </c>
      <c r="D31" s="30" t="s">
        <v>93</v>
      </c>
      <c r="E31" s="30" t="s">
        <v>94</v>
      </c>
    </row>
    <row r="32" customFormat="false" ht="15" hidden="false" customHeight="false" outlineLevel="0" collapsed="false">
      <c r="A32" s="30" t="s">
        <v>36</v>
      </c>
      <c r="B32" s="26" t="s">
        <v>95</v>
      </c>
      <c r="C32" s="26" t="s">
        <v>95</v>
      </c>
      <c r="D32" s="26" t="s">
        <v>95</v>
      </c>
      <c r="E32" s="26" t="s">
        <v>95</v>
      </c>
    </row>
    <row r="33" customFormat="false" ht="15" hidden="false" customHeight="false" outlineLevel="0" collapsed="false">
      <c r="A33" s="30" t="s">
        <v>42</v>
      </c>
      <c r="B33" s="26" t="s">
        <v>95</v>
      </c>
      <c r="C33" s="26" t="s">
        <v>95</v>
      </c>
      <c r="D33" s="26" t="s">
        <v>95</v>
      </c>
      <c r="E33" s="26" t="s">
        <v>95</v>
      </c>
    </row>
  </sheetData>
  <mergeCells count="4">
    <mergeCell ref="A1:G1"/>
    <mergeCell ref="A11:G11"/>
    <mergeCell ref="A20:G20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4" min="3" style="0" width="12"/>
    <col collapsed="false" customWidth="true" hidden="false" outlineLevel="0" max="6" min="5" style="0" width="30"/>
    <col collapsed="false" customWidth="true" hidden="false" outlineLevel="0" max="7" min="7" style="0" width="15"/>
  </cols>
  <sheetData>
    <row r="1" customFormat="false" ht="15" hidden="false" customHeight="true" outlineLevel="0" collapsed="false">
      <c r="A1" s="34" t="s">
        <v>117</v>
      </c>
      <c r="B1" s="34"/>
      <c r="C1" s="34"/>
      <c r="D1" s="34"/>
      <c r="E1" s="34"/>
      <c r="F1" s="34"/>
      <c r="G1" s="34"/>
    </row>
    <row r="3" customFormat="false" ht="15" hidden="false" customHeight="false" outlineLevel="0" collapsed="false">
      <c r="A3" s="14" t="s">
        <v>23</v>
      </c>
      <c r="B3" s="14" t="s">
        <v>61</v>
      </c>
      <c r="C3" s="14" t="s">
        <v>62</v>
      </c>
      <c r="D3" s="14" t="s">
        <v>63</v>
      </c>
      <c r="E3" s="14" t="s">
        <v>27</v>
      </c>
      <c r="F3" s="14" t="s">
        <v>64</v>
      </c>
      <c r="G3" s="14" t="s">
        <v>29</v>
      </c>
    </row>
    <row r="4" customFormat="false" ht="22.35" hidden="false" customHeight="false" outlineLevel="0" collapsed="false">
      <c r="A4" s="23" t="s">
        <v>6</v>
      </c>
      <c r="B4" s="24" t="n">
        <f aca="false">C4*D4</f>
        <v>80</v>
      </c>
      <c r="C4" s="25" t="n">
        <v>10</v>
      </c>
      <c r="D4" s="25" t="n">
        <v>8</v>
      </c>
      <c r="E4" s="26" t="s">
        <v>118</v>
      </c>
      <c r="F4" s="26" t="s">
        <v>66</v>
      </c>
      <c r="G4" s="26" t="s">
        <v>67</v>
      </c>
    </row>
    <row r="5" customFormat="false" ht="22.35" hidden="false" customHeight="false" outlineLevel="0" collapsed="false">
      <c r="A5" s="23" t="s">
        <v>7</v>
      </c>
      <c r="B5" s="24" t="n">
        <f aca="false">C5*D5</f>
        <v>63</v>
      </c>
      <c r="C5" s="25" t="n">
        <v>9</v>
      </c>
      <c r="D5" s="25" t="n">
        <v>7</v>
      </c>
      <c r="E5" s="26" t="s">
        <v>119</v>
      </c>
      <c r="F5" s="26" t="s">
        <v>66</v>
      </c>
      <c r="G5" s="26" t="s">
        <v>67</v>
      </c>
    </row>
    <row r="6" customFormat="false" ht="22.35" hidden="false" customHeight="false" outlineLevel="0" collapsed="false">
      <c r="A6" s="23" t="s">
        <v>8</v>
      </c>
      <c r="B6" s="24" t="n">
        <f aca="false">C6*D6</f>
        <v>42</v>
      </c>
      <c r="C6" s="25" t="n">
        <v>7</v>
      </c>
      <c r="D6" s="25" t="n">
        <v>6</v>
      </c>
      <c r="E6" s="26" t="s">
        <v>120</v>
      </c>
      <c r="F6" s="26" t="s">
        <v>66</v>
      </c>
      <c r="G6" s="26" t="s">
        <v>67</v>
      </c>
    </row>
    <row r="7" customFormat="false" ht="22.35" hidden="false" customHeight="false" outlineLevel="0" collapsed="false">
      <c r="A7" s="23" t="s">
        <v>9</v>
      </c>
      <c r="B7" s="24" t="n">
        <f aca="false">C7*D7</f>
        <v>56</v>
      </c>
      <c r="C7" s="25" t="n">
        <v>8</v>
      </c>
      <c r="D7" s="25" t="n">
        <v>7</v>
      </c>
      <c r="E7" s="26" t="s">
        <v>121</v>
      </c>
      <c r="F7" s="26" t="s">
        <v>66</v>
      </c>
      <c r="G7" s="26" t="s">
        <v>67</v>
      </c>
    </row>
    <row r="8" customFormat="false" ht="22.35" hidden="false" customHeight="false" outlineLevel="0" collapsed="false">
      <c r="A8" s="23" t="s">
        <v>10</v>
      </c>
      <c r="B8" s="24" t="n">
        <f aca="false">C8*D8</f>
        <v>48</v>
      </c>
      <c r="C8" s="25" t="n">
        <v>6</v>
      </c>
      <c r="D8" s="25" t="n">
        <v>8</v>
      </c>
      <c r="E8" s="26" t="s">
        <v>122</v>
      </c>
      <c r="F8" s="26" t="s">
        <v>66</v>
      </c>
      <c r="G8" s="26" t="s">
        <v>67</v>
      </c>
    </row>
    <row r="9" customFormat="false" ht="22.35" hidden="false" customHeight="false" outlineLevel="0" collapsed="false">
      <c r="A9" s="23" t="s">
        <v>11</v>
      </c>
      <c r="B9" s="24" t="n">
        <f aca="false">C9*D9</f>
        <v>45</v>
      </c>
      <c r="C9" s="25" t="n">
        <v>5</v>
      </c>
      <c r="D9" s="25" t="n">
        <v>9</v>
      </c>
      <c r="E9" s="26" t="s">
        <v>123</v>
      </c>
      <c r="F9" s="26" t="s">
        <v>66</v>
      </c>
      <c r="G9" s="26" t="s">
        <v>67</v>
      </c>
    </row>
    <row r="11" customFormat="false" ht="15" hidden="false" customHeight="true" outlineLevel="0" collapsed="false">
      <c r="A11" s="27" t="s">
        <v>73</v>
      </c>
      <c r="B11" s="27"/>
      <c r="C11" s="27"/>
      <c r="D11" s="27"/>
      <c r="E11" s="27"/>
      <c r="F11" s="27"/>
      <c r="G11" s="27"/>
    </row>
    <row r="12" customFormat="false" ht="15" hidden="false" customHeight="false" outlineLevel="0" collapsed="false">
      <c r="A12" s="14" t="s">
        <v>23</v>
      </c>
      <c r="B12" s="14" t="s">
        <v>74</v>
      </c>
      <c r="C12" s="14" t="s">
        <v>25</v>
      </c>
      <c r="D12" s="14" t="s">
        <v>75</v>
      </c>
      <c r="E12" s="14" t="s">
        <v>76</v>
      </c>
      <c r="F12" s="14" t="s">
        <v>29</v>
      </c>
      <c r="G12" s="14" t="s">
        <v>77</v>
      </c>
    </row>
    <row r="13" customFormat="false" ht="15" hidden="false" customHeight="false" outlineLevel="0" collapsed="false">
      <c r="A13" s="26" t="s">
        <v>78</v>
      </c>
      <c r="B13" s="26"/>
      <c r="C13" s="26"/>
      <c r="D13" s="26"/>
      <c r="E13" s="26"/>
      <c r="F13" s="26"/>
      <c r="G13" s="26"/>
    </row>
    <row r="14" customFormat="false" ht="15" hidden="false" customHeight="false" outlineLevel="0" collapsed="false">
      <c r="A14" s="26" t="s">
        <v>79</v>
      </c>
      <c r="B14" s="26"/>
      <c r="C14" s="26"/>
      <c r="D14" s="26"/>
      <c r="E14" s="26"/>
      <c r="F14" s="26"/>
      <c r="G14" s="26"/>
    </row>
    <row r="15" customFormat="false" ht="15" hidden="false" customHeight="false" outlineLevel="0" collapsed="false">
      <c r="A15" s="26" t="s">
        <v>80</v>
      </c>
      <c r="B15" s="26"/>
      <c r="C15" s="26"/>
      <c r="D15" s="26"/>
      <c r="E15" s="26"/>
      <c r="F15" s="26"/>
      <c r="G15" s="26"/>
    </row>
    <row r="16" customFormat="false" ht="15" hidden="false" customHeight="false" outlineLevel="0" collapsed="false">
      <c r="A16" s="26" t="s">
        <v>81</v>
      </c>
      <c r="B16" s="26"/>
      <c r="C16" s="26"/>
      <c r="D16" s="26"/>
      <c r="E16" s="26"/>
      <c r="F16" s="26"/>
      <c r="G16" s="26"/>
    </row>
    <row r="17" customFormat="false" ht="15" hidden="false" customHeight="false" outlineLevel="0" collapsed="false">
      <c r="A17" s="26" t="s">
        <v>82</v>
      </c>
      <c r="B17" s="26"/>
      <c r="C17" s="26"/>
      <c r="D17" s="26"/>
      <c r="E17" s="26"/>
      <c r="F17" s="26"/>
      <c r="G17" s="26"/>
    </row>
    <row r="18" customFormat="false" ht="15" hidden="false" customHeight="false" outlineLevel="0" collapsed="false">
      <c r="A18" s="26" t="s">
        <v>83</v>
      </c>
      <c r="B18" s="26"/>
      <c r="C18" s="26"/>
      <c r="D18" s="26"/>
      <c r="E18" s="26"/>
      <c r="F18" s="26"/>
      <c r="G18" s="26"/>
    </row>
    <row r="20" customFormat="false" ht="15" hidden="false" customHeight="true" outlineLevel="0" collapsed="false">
      <c r="A20" s="28" t="s">
        <v>84</v>
      </c>
      <c r="B20" s="28"/>
      <c r="C20" s="28"/>
      <c r="D20" s="28"/>
      <c r="E20" s="28"/>
      <c r="F20" s="28"/>
      <c r="G20" s="28"/>
    </row>
    <row r="21" customFormat="false" ht="15" hidden="false" customHeight="false" outlineLevel="0" collapsed="false">
      <c r="A21" s="14" t="s">
        <v>23</v>
      </c>
      <c r="B21" s="14" t="s">
        <v>85</v>
      </c>
      <c r="C21" s="14" t="s">
        <v>86</v>
      </c>
      <c r="D21" s="14" t="s">
        <v>87</v>
      </c>
      <c r="E21" s="14" t="s">
        <v>88</v>
      </c>
      <c r="F21" s="14" t="s">
        <v>29</v>
      </c>
      <c r="G21" s="14" t="s">
        <v>89</v>
      </c>
    </row>
    <row r="22" customFormat="false" ht="15" hidden="false" customHeight="false" outlineLevel="0" collapsed="false">
      <c r="A22" s="26" t="s">
        <v>78</v>
      </c>
      <c r="B22" s="26"/>
      <c r="C22" s="26"/>
      <c r="D22" s="26"/>
      <c r="E22" s="26"/>
      <c r="F22" s="26"/>
      <c r="G22" s="26"/>
    </row>
    <row r="23" customFormat="false" ht="15" hidden="false" customHeight="false" outlineLevel="0" collapsed="false">
      <c r="A23" s="26" t="s">
        <v>79</v>
      </c>
      <c r="B23" s="26"/>
      <c r="C23" s="26"/>
      <c r="D23" s="26"/>
      <c r="E23" s="26"/>
      <c r="F23" s="26"/>
      <c r="G23" s="26"/>
    </row>
    <row r="24" customFormat="false" ht="15" hidden="false" customHeight="false" outlineLevel="0" collapsed="false">
      <c r="A24" s="26" t="s">
        <v>80</v>
      </c>
      <c r="B24" s="26"/>
      <c r="C24" s="26"/>
      <c r="D24" s="26"/>
      <c r="E24" s="26"/>
      <c r="F24" s="26"/>
      <c r="G24" s="26"/>
    </row>
    <row r="25" customFormat="false" ht="15" hidden="false" customHeight="false" outlineLevel="0" collapsed="false">
      <c r="A25" s="26" t="s">
        <v>81</v>
      </c>
      <c r="B25" s="26"/>
      <c r="C25" s="26"/>
      <c r="D25" s="26"/>
      <c r="E25" s="26"/>
      <c r="F25" s="26"/>
      <c r="G25" s="26"/>
    </row>
    <row r="26" customFormat="false" ht="15" hidden="false" customHeight="false" outlineLevel="0" collapsed="false">
      <c r="A26" s="26" t="s">
        <v>82</v>
      </c>
      <c r="B26" s="26"/>
      <c r="C26" s="26"/>
      <c r="D26" s="26"/>
      <c r="E26" s="26"/>
      <c r="F26" s="26"/>
      <c r="G26" s="26"/>
    </row>
    <row r="27" customFormat="false" ht="15" hidden="false" customHeight="false" outlineLevel="0" collapsed="false">
      <c r="A27" s="26" t="s">
        <v>83</v>
      </c>
      <c r="B27" s="26"/>
      <c r="C27" s="26"/>
      <c r="D27" s="26"/>
      <c r="E27" s="26"/>
      <c r="F27" s="26"/>
      <c r="G27" s="26"/>
    </row>
    <row r="30" customFormat="false" ht="15" hidden="false" customHeight="true" outlineLevel="0" collapsed="false">
      <c r="A30" s="29" t="s">
        <v>90</v>
      </c>
      <c r="B30" s="29"/>
      <c r="C30" s="29"/>
      <c r="D30" s="29"/>
      <c r="E30" s="29"/>
    </row>
    <row r="31" customFormat="false" ht="19.4" hidden="false" customHeight="false" outlineLevel="0" collapsed="false">
      <c r="B31" s="30" t="s">
        <v>91</v>
      </c>
      <c r="C31" s="30" t="s">
        <v>92</v>
      </c>
      <c r="D31" s="30" t="s">
        <v>93</v>
      </c>
      <c r="E31" s="30" t="s">
        <v>94</v>
      </c>
    </row>
    <row r="32" customFormat="false" ht="15" hidden="false" customHeight="false" outlineLevel="0" collapsed="false">
      <c r="A32" s="30" t="s">
        <v>36</v>
      </c>
      <c r="B32" s="26" t="s">
        <v>95</v>
      </c>
      <c r="C32" s="26" t="s">
        <v>95</v>
      </c>
      <c r="D32" s="26" t="s">
        <v>95</v>
      </c>
      <c r="E32" s="26" t="s">
        <v>95</v>
      </c>
    </row>
    <row r="33" customFormat="false" ht="15" hidden="false" customHeight="false" outlineLevel="0" collapsed="false">
      <c r="A33" s="30" t="s">
        <v>42</v>
      </c>
      <c r="B33" s="26" t="s">
        <v>95</v>
      </c>
      <c r="C33" s="26" t="s">
        <v>95</v>
      </c>
      <c r="D33" s="26" t="s">
        <v>95</v>
      </c>
      <c r="E33" s="26" t="s">
        <v>95</v>
      </c>
    </row>
  </sheetData>
  <mergeCells count="4">
    <mergeCell ref="A1:G1"/>
    <mergeCell ref="A11:G11"/>
    <mergeCell ref="A20:G20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4" min="3" style="0" width="12"/>
    <col collapsed="false" customWidth="true" hidden="false" outlineLevel="0" max="6" min="5" style="0" width="30"/>
    <col collapsed="false" customWidth="true" hidden="false" outlineLevel="0" max="7" min="7" style="0" width="15"/>
  </cols>
  <sheetData>
    <row r="1" customFormat="false" ht="15" hidden="false" customHeight="true" outlineLevel="0" collapsed="false">
      <c r="A1" s="35" t="s">
        <v>124</v>
      </c>
      <c r="B1" s="35"/>
      <c r="C1" s="35"/>
      <c r="D1" s="35"/>
      <c r="E1" s="35"/>
      <c r="F1" s="35"/>
      <c r="G1" s="35"/>
    </row>
    <row r="3" customFormat="false" ht="15" hidden="false" customHeight="false" outlineLevel="0" collapsed="false">
      <c r="A3" s="14" t="s">
        <v>23</v>
      </c>
      <c r="B3" s="14" t="s">
        <v>61</v>
      </c>
      <c r="C3" s="14" t="s">
        <v>62</v>
      </c>
      <c r="D3" s="14" t="s">
        <v>63</v>
      </c>
      <c r="E3" s="14" t="s">
        <v>27</v>
      </c>
      <c r="F3" s="14" t="s">
        <v>64</v>
      </c>
      <c r="G3" s="14" t="s">
        <v>29</v>
      </c>
    </row>
    <row r="4" customFormat="false" ht="22.35" hidden="false" customHeight="false" outlineLevel="0" collapsed="false">
      <c r="A4" s="23" t="s">
        <v>6</v>
      </c>
      <c r="B4" s="24" t="n">
        <f aca="false">C4*D4</f>
        <v>80</v>
      </c>
      <c r="C4" s="25" t="n">
        <v>10</v>
      </c>
      <c r="D4" s="25" t="n">
        <v>8</v>
      </c>
      <c r="E4" s="26" t="s">
        <v>125</v>
      </c>
      <c r="F4" s="26" t="s">
        <v>66</v>
      </c>
      <c r="G4" s="26" t="s">
        <v>67</v>
      </c>
    </row>
    <row r="5" customFormat="false" ht="22.35" hidden="false" customHeight="false" outlineLevel="0" collapsed="false">
      <c r="A5" s="23" t="s">
        <v>7</v>
      </c>
      <c r="B5" s="24" t="n">
        <f aca="false">C5*D5</f>
        <v>63</v>
      </c>
      <c r="C5" s="25" t="n">
        <v>9</v>
      </c>
      <c r="D5" s="25" t="n">
        <v>7</v>
      </c>
      <c r="E5" s="26" t="s">
        <v>126</v>
      </c>
      <c r="F5" s="26" t="s">
        <v>66</v>
      </c>
      <c r="G5" s="26" t="s">
        <v>67</v>
      </c>
    </row>
    <row r="6" customFormat="false" ht="22.35" hidden="false" customHeight="false" outlineLevel="0" collapsed="false">
      <c r="A6" s="23" t="s">
        <v>8</v>
      </c>
      <c r="B6" s="24" t="n">
        <f aca="false">C6*D6</f>
        <v>42</v>
      </c>
      <c r="C6" s="25" t="n">
        <v>7</v>
      </c>
      <c r="D6" s="25" t="n">
        <v>6</v>
      </c>
      <c r="E6" s="26" t="s">
        <v>127</v>
      </c>
      <c r="F6" s="26" t="s">
        <v>66</v>
      </c>
      <c r="G6" s="26" t="s">
        <v>67</v>
      </c>
    </row>
    <row r="7" customFormat="false" ht="22.35" hidden="false" customHeight="false" outlineLevel="0" collapsed="false">
      <c r="A7" s="23" t="s">
        <v>9</v>
      </c>
      <c r="B7" s="24" t="n">
        <f aca="false">C7*D7</f>
        <v>56</v>
      </c>
      <c r="C7" s="25" t="n">
        <v>8</v>
      </c>
      <c r="D7" s="25" t="n">
        <v>7</v>
      </c>
      <c r="E7" s="26" t="s">
        <v>128</v>
      </c>
      <c r="F7" s="26" t="s">
        <v>66</v>
      </c>
      <c r="G7" s="26" t="s">
        <v>67</v>
      </c>
    </row>
    <row r="8" customFormat="false" ht="22.35" hidden="false" customHeight="false" outlineLevel="0" collapsed="false">
      <c r="A8" s="23" t="s">
        <v>10</v>
      </c>
      <c r="B8" s="24" t="n">
        <f aca="false">C8*D8</f>
        <v>48</v>
      </c>
      <c r="C8" s="25" t="n">
        <v>6</v>
      </c>
      <c r="D8" s="25" t="n">
        <v>8</v>
      </c>
      <c r="E8" s="26" t="s">
        <v>129</v>
      </c>
      <c r="F8" s="26" t="s">
        <v>66</v>
      </c>
      <c r="G8" s="26" t="s">
        <v>67</v>
      </c>
    </row>
    <row r="9" customFormat="false" ht="22.35" hidden="false" customHeight="false" outlineLevel="0" collapsed="false">
      <c r="A9" s="23" t="s">
        <v>11</v>
      </c>
      <c r="B9" s="24" t="n">
        <f aca="false">C9*D9</f>
        <v>45</v>
      </c>
      <c r="C9" s="25" t="n">
        <v>5</v>
      </c>
      <c r="D9" s="25" t="n">
        <v>9</v>
      </c>
      <c r="E9" s="26" t="s">
        <v>130</v>
      </c>
      <c r="F9" s="26" t="s">
        <v>66</v>
      </c>
      <c r="G9" s="26" t="s">
        <v>67</v>
      </c>
    </row>
    <row r="11" customFormat="false" ht="15" hidden="false" customHeight="true" outlineLevel="0" collapsed="false">
      <c r="A11" s="27" t="s">
        <v>73</v>
      </c>
      <c r="B11" s="27"/>
      <c r="C11" s="27"/>
      <c r="D11" s="27"/>
      <c r="E11" s="27"/>
      <c r="F11" s="27"/>
      <c r="G11" s="27"/>
    </row>
    <row r="12" customFormat="false" ht="15" hidden="false" customHeight="false" outlineLevel="0" collapsed="false">
      <c r="A12" s="14" t="s">
        <v>23</v>
      </c>
      <c r="B12" s="14" t="s">
        <v>74</v>
      </c>
      <c r="C12" s="14" t="s">
        <v>25</v>
      </c>
      <c r="D12" s="14" t="s">
        <v>75</v>
      </c>
      <c r="E12" s="14" t="s">
        <v>76</v>
      </c>
      <c r="F12" s="14" t="s">
        <v>29</v>
      </c>
      <c r="G12" s="14" t="s">
        <v>77</v>
      </c>
    </row>
    <row r="13" customFormat="false" ht="15" hidden="false" customHeight="false" outlineLevel="0" collapsed="false">
      <c r="A13" s="26" t="s">
        <v>78</v>
      </c>
      <c r="B13" s="26"/>
      <c r="C13" s="26"/>
      <c r="D13" s="26"/>
      <c r="E13" s="26"/>
      <c r="F13" s="26"/>
      <c r="G13" s="26"/>
    </row>
    <row r="14" customFormat="false" ht="15" hidden="false" customHeight="false" outlineLevel="0" collapsed="false">
      <c r="A14" s="26" t="s">
        <v>79</v>
      </c>
      <c r="B14" s="26"/>
      <c r="C14" s="26"/>
      <c r="D14" s="26"/>
      <c r="E14" s="26"/>
      <c r="F14" s="26"/>
      <c r="G14" s="26"/>
    </row>
    <row r="15" customFormat="false" ht="15" hidden="false" customHeight="false" outlineLevel="0" collapsed="false">
      <c r="A15" s="26" t="s">
        <v>80</v>
      </c>
      <c r="B15" s="26"/>
      <c r="C15" s="26"/>
      <c r="D15" s="26"/>
      <c r="E15" s="26"/>
      <c r="F15" s="26"/>
      <c r="G15" s="26"/>
    </row>
    <row r="16" customFormat="false" ht="15" hidden="false" customHeight="false" outlineLevel="0" collapsed="false">
      <c r="A16" s="26" t="s">
        <v>81</v>
      </c>
      <c r="B16" s="26"/>
      <c r="C16" s="26"/>
      <c r="D16" s="26"/>
      <c r="E16" s="26"/>
      <c r="F16" s="26"/>
      <c r="G16" s="26"/>
    </row>
    <row r="17" customFormat="false" ht="15" hidden="false" customHeight="false" outlineLevel="0" collapsed="false">
      <c r="A17" s="26" t="s">
        <v>82</v>
      </c>
      <c r="B17" s="26"/>
      <c r="C17" s="26"/>
      <c r="D17" s="26"/>
      <c r="E17" s="26"/>
      <c r="F17" s="26"/>
      <c r="G17" s="26"/>
    </row>
    <row r="18" customFormat="false" ht="15" hidden="false" customHeight="false" outlineLevel="0" collapsed="false">
      <c r="A18" s="26" t="s">
        <v>83</v>
      </c>
      <c r="B18" s="26"/>
      <c r="C18" s="26"/>
      <c r="D18" s="26"/>
      <c r="E18" s="26"/>
      <c r="F18" s="26"/>
      <c r="G18" s="26"/>
    </row>
    <row r="20" customFormat="false" ht="15" hidden="false" customHeight="true" outlineLevel="0" collapsed="false">
      <c r="A20" s="28" t="s">
        <v>84</v>
      </c>
      <c r="B20" s="28"/>
      <c r="C20" s="28"/>
      <c r="D20" s="28"/>
      <c r="E20" s="28"/>
      <c r="F20" s="28"/>
      <c r="G20" s="28"/>
    </row>
    <row r="21" customFormat="false" ht="15" hidden="false" customHeight="false" outlineLevel="0" collapsed="false">
      <c r="A21" s="14" t="s">
        <v>23</v>
      </c>
      <c r="B21" s="14" t="s">
        <v>85</v>
      </c>
      <c r="C21" s="14" t="s">
        <v>86</v>
      </c>
      <c r="D21" s="14" t="s">
        <v>87</v>
      </c>
      <c r="E21" s="14" t="s">
        <v>88</v>
      </c>
      <c r="F21" s="14" t="s">
        <v>29</v>
      </c>
      <c r="G21" s="14" t="s">
        <v>89</v>
      </c>
    </row>
    <row r="22" customFormat="false" ht="15" hidden="false" customHeight="false" outlineLevel="0" collapsed="false">
      <c r="A22" s="26" t="s">
        <v>78</v>
      </c>
      <c r="B22" s="26"/>
      <c r="C22" s="26"/>
      <c r="D22" s="26"/>
      <c r="E22" s="26"/>
      <c r="F22" s="26"/>
      <c r="G22" s="26"/>
    </row>
    <row r="23" customFormat="false" ht="15" hidden="false" customHeight="false" outlineLevel="0" collapsed="false">
      <c r="A23" s="26" t="s">
        <v>79</v>
      </c>
      <c r="B23" s="26"/>
      <c r="C23" s="26"/>
      <c r="D23" s="26"/>
      <c r="E23" s="26"/>
      <c r="F23" s="26"/>
      <c r="G23" s="26"/>
    </row>
    <row r="24" customFormat="false" ht="15" hidden="false" customHeight="false" outlineLevel="0" collapsed="false">
      <c r="A24" s="26" t="s">
        <v>80</v>
      </c>
      <c r="B24" s="26"/>
      <c r="C24" s="26"/>
      <c r="D24" s="26"/>
      <c r="E24" s="26"/>
      <c r="F24" s="26"/>
      <c r="G24" s="26"/>
    </row>
    <row r="25" customFormat="false" ht="15" hidden="false" customHeight="false" outlineLevel="0" collapsed="false">
      <c r="A25" s="26" t="s">
        <v>81</v>
      </c>
      <c r="B25" s="26"/>
      <c r="C25" s="26"/>
      <c r="D25" s="26"/>
      <c r="E25" s="26"/>
      <c r="F25" s="26"/>
      <c r="G25" s="26"/>
    </row>
    <row r="26" customFormat="false" ht="15" hidden="false" customHeight="false" outlineLevel="0" collapsed="false">
      <c r="A26" s="26" t="s">
        <v>82</v>
      </c>
      <c r="B26" s="26"/>
      <c r="C26" s="26"/>
      <c r="D26" s="26"/>
      <c r="E26" s="26"/>
      <c r="F26" s="26"/>
      <c r="G26" s="26"/>
    </row>
    <row r="27" customFormat="false" ht="15" hidden="false" customHeight="false" outlineLevel="0" collapsed="false">
      <c r="A27" s="26" t="s">
        <v>83</v>
      </c>
      <c r="B27" s="26"/>
      <c r="C27" s="26"/>
      <c r="D27" s="26"/>
      <c r="E27" s="26"/>
      <c r="F27" s="26"/>
      <c r="G27" s="26"/>
    </row>
    <row r="30" customFormat="false" ht="15" hidden="false" customHeight="true" outlineLevel="0" collapsed="false">
      <c r="A30" s="29" t="s">
        <v>90</v>
      </c>
      <c r="B30" s="29"/>
      <c r="C30" s="29"/>
      <c r="D30" s="29"/>
      <c r="E30" s="29"/>
    </row>
    <row r="31" customFormat="false" ht="19.4" hidden="false" customHeight="false" outlineLevel="0" collapsed="false">
      <c r="B31" s="30" t="s">
        <v>91</v>
      </c>
      <c r="C31" s="30" t="s">
        <v>92</v>
      </c>
      <c r="D31" s="30" t="s">
        <v>93</v>
      </c>
      <c r="E31" s="30" t="s">
        <v>94</v>
      </c>
    </row>
    <row r="32" customFormat="false" ht="15" hidden="false" customHeight="false" outlineLevel="0" collapsed="false">
      <c r="A32" s="30" t="s">
        <v>36</v>
      </c>
      <c r="B32" s="26" t="s">
        <v>95</v>
      </c>
      <c r="C32" s="26" t="s">
        <v>95</v>
      </c>
      <c r="D32" s="26" t="s">
        <v>95</v>
      </c>
      <c r="E32" s="26" t="s">
        <v>95</v>
      </c>
    </row>
    <row r="33" customFormat="false" ht="15" hidden="false" customHeight="false" outlineLevel="0" collapsed="false">
      <c r="A33" s="30" t="s">
        <v>42</v>
      </c>
      <c r="B33" s="26" t="s">
        <v>95</v>
      </c>
      <c r="C33" s="26" t="s">
        <v>95</v>
      </c>
      <c r="D33" s="26" t="s">
        <v>95</v>
      </c>
      <c r="E33" s="26" t="s">
        <v>95</v>
      </c>
    </row>
  </sheetData>
  <mergeCells count="4">
    <mergeCell ref="A1:G1"/>
    <mergeCell ref="A11:G11"/>
    <mergeCell ref="A20:G20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5" min="4" style="0" width="12"/>
  </cols>
  <sheetData>
    <row r="1" customFormat="false" ht="15" hidden="false" customHeight="true" outlineLevel="0" collapsed="false">
      <c r="A1" s="36" t="s">
        <v>131</v>
      </c>
      <c r="B1" s="36"/>
      <c r="C1" s="36"/>
      <c r="D1" s="36"/>
      <c r="E1" s="36"/>
      <c r="F1" s="36"/>
    </row>
    <row r="2" customFormat="false" ht="15" hidden="false" customHeight="false" outlineLevel="0" collapsed="false">
      <c r="A2" s="37" t="s">
        <v>44</v>
      </c>
      <c r="B2" s="37" t="s">
        <v>132</v>
      </c>
      <c r="C2" s="37" t="s">
        <v>133</v>
      </c>
      <c r="D2" s="37" t="s">
        <v>47</v>
      </c>
      <c r="E2" s="37" t="s">
        <v>29</v>
      </c>
    </row>
    <row r="3" customFormat="false" ht="15" hidden="false" customHeight="false" outlineLevel="0" collapsed="false">
      <c r="A3" s="26" t="s">
        <v>134</v>
      </c>
      <c r="B3" s="26" t="n">
        <v>90</v>
      </c>
      <c r="C3" s="26" t="n">
        <v>85</v>
      </c>
      <c r="D3" s="26" t="n">
        <f aca="false">C3-B3</f>
        <v>-5</v>
      </c>
      <c r="E3" s="26" t="str">
        <f aca="false">IF(ABS(D3)&lt;=5,"✓","⚠")</f>
        <v>✓</v>
      </c>
    </row>
    <row r="4" customFormat="false" ht="15" hidden="false" customHeight="false" outlineLevel="0" collapsed="false">
      <c r="A4" s="26" t="s">
        <v>135</v>
      </c>
      <c r="B4" s="26" t="n">
        <v>10</v>
      </c>
      <c r="C4" s="26" t="n">
        <v>15</v>
      </c>
      <c r="D4" s="26" t="n">
        <f aca="false">C4-B4</f>
        <v>5</v>
      </c>
      <c r="E4" s="26" t="str">
        <f aca="false">IF(ABS(D4)&lt;=5,"✓","⚠")</f>
        <v>✓</v>
      </c>
    </row>
    <row r="5" customFormat="false" ht="15" hidden="false" customHeight="false" outlineLevel="0" collapsed="false">
      <c r="A5" s="26" t="s">
        <v>136</v>
      </c>
      <c r="B5" s="26" t="n">
        <v>150</v>
      </c>
      <c r="C5" s="26" t="n">
        <v>145</v>
      </c>
      <c r="D5" s="26" t="n">
        <f aca="false">C5-B5</f>
        <v>-5</v>
      </c>
      <c r="E5" s="26" t="str">
        <f aca="false">IF(ABS(D5)&lt;=10,"✓","⚠")</f>
        <v>✓</v>
      </c>
    </row>
    <row r="7" customFormat="false" ht="15" hidden="false" customHeight="true" outlineLevel="0" collapsed="false">
      <c r="A7" s="38" t="s">
        <v>137</v>
      </c>
      <c r="B7" s="38"/>
      <c r="C7" s="38"/>
      <c r="D7" s="38"/>
      <c r="E7" s="38"/>
      <c r="F7" s="38"/>
    </row>
    <row r="8" customFormat="false" ht="15" hidden="false" customHeight="false" outlineLevel="0" collapsed="false">
      <c r="A8" s="15" t="s">
        <v>138</v>
      </c>
      <c r="B8" s="15" t="s">
        <v>32</v>
      </c>
      <c r="C8" s="15" t="s">
        <v>139</v>
      </c>
      <c r="D8" s="15" t="s">
        <v>140</v>
      </c>
      <c r="E8" s="15" t="s">
        <v>45</v>
      </c>
    </row>
    <row r="9" customFormat="false" ht="15" hidden="false" customHeight="false" outlineLevel="0" collapsed="false">
      <c r="A9" s="26" t="s">
        <v>141</v>
      </c>
      <c r="B9" s="26" t="s">
        <v>142</v>
      </c>
      <c r="C9" s="26" t="n">
        <v>25</v>
      </c>
      <c r="D9" s="39" t="n">
        <f aca="false">C9/168</f>
        <v>0.148809523809524</v>
      </c>
      <c r="E9" s="39" t="n">
        <v>15</v>
      </c>
    </row>
    <row r="10" customFormat="false" ht="15" hidden="false" customHeight="false" outlineLevel="0" collapsed="false">
      <c r="A10" s="26" t="s">
        <v>143</v>
      </c>
      <c r="B10" s="26" t="s">
        <v>142</v>
      </c>
      <c r="C10" s="26" t="n">
        <v>20</v>
      </c>
      <c r="D10" s="39" t="n">
        <f aca="false">C10/168</f>
        <v>0.119047619047619</v>
      </c>
      <c r="E10" s="39" t="n">
        <v>12</v>
      </c>
    </row>
    <row r="11" customFormat="false" ht="15" hidden="false" customHeight="false" outlineLevel="0" collapsed="false">
      <c r="A11" s="26" t="s">
        <v>144</v>
      </c>
      <c r="B11" s="26" t="s">
        <v>142</v>
      </c>
      <c r="C11" s="26" t="n">
        <v>30</v>
      </c>
      <c r="D11" s="39" t="n">
        <f aca="false">C11/168</f>
        <v>0.178571428571429</v>
      </c>
      <c r="E11" s="39" t="n">
        <v>18</v>
      </c>
    </row>
    <row r="12" customFormat="false" ht="15" hidden="false" customHeight="false" outlineLevel="0" collapsed="false">
      <c r="A12" s="26" t="s">
        <v>145</v>
      </c>
      <c r="B12" s="26" t="s">
        <v>142</v>
      </c>
      <c r="C12" s="26" t="n">
        <v>15</v>
      </c>
      <c r="D12" s="39" t="n">
        <f aca="false">C12/168</f>
        <v>0.0892857142857143</v>
      </c>
      <c r="E12" s="39" t="n">
        <v>9</v>
      </c>
    </row>
    <row r="13" customFormat="false" ht="15" hidden="false" customHeight="false" outlineLevel="0" collapsed="false">
      <c r="A13" s="26" t="s">
        <v>146</v>
      </c>
      <c r="B13" s="26" t="s">
        <v>147</v>
      </c>
      <c r="C13" s="26" t="n">
        <v>10</v>
      </c>
      <c r="D13" s="39" t="n">
        <f aca="false">C13/168</f>
        <v>0.0595238095238095</v>
      </c>
      <c r="E13" s="39" t="n">
        <v>6</v>
      </c>
    </row>
    <row r="14" customFormat="false" ht="15" hidden="false" customHeight="false" outlineLevel="0" collapsed="false">
      <c r="A14" s="26" t="s">
        <v>148</v>
      </c>
      <c r="B14" s="26" t="s">
        <v>147</v>
      </c>
      <c r="C14" s="26" t="n">
        <v>7</v>
      </c>
      <c r="D14" s="39" t="n">
        <f aca="false">C14/168</f>
        <v>0.0416666666666667</v>
      </c>
      <c r="E14" s="39" t="n">
        <v>4</v>
      </c>
    </row>
  </sheetData>
  <mergeCells count="2">
    <mergeCell ref="A1:F1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25"/>
    <col collapsed="false" customWidth="true" hidden="false" outlineLevel="0" max="6" min="5" style="0" width="12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25"/>
  </cols>
  <sheetData>
    <row r="1" customFormat="false" ht="15" hidden="false" customHeight="true" outlineLevel="0" collapsed="false">
      <c r="A1" s="40" t="s">
        <v>149</v>
      </c>
      <c r="B1" s="40"/>
      <c r="C1" s="40"/>
      <c r="D1" s="40"/>
      <c r="E1" s="40"/>
      <c r="F1" s="40"/>
      <c r="G1" s="40"/>
      <c r="H1" s="40"/>
      <c r="I1" s="40"/>
      <c r="J1" s="40"/>
    </row>
    <row r="2" customFormat="false" ht="15" hidden="false" customHeight="false" outlineLevel="0" collapsed="false">
      <c r="A2" s="41" t="s">
        <v>150</v>
      </c>
      <c r="B2" s="41"/>
      <c r="C2" s="41"/>
      <c r="D2" s="41"/>
      <c r="E2" s="41"/>
      <c r="F2" s="41"/>
      <c r="G2" s="41"/>
      <c r="H2" s="41"/>
      <c r="I2" s="41"/>
      <c r="J2" s="41"/>
    </row>
    <row r="4" customFormat="false" ht="22.35" hidden="false" customHeight="false" outlineLevel="0" collapsed="false">
      <c r="A4" s="14" t="s">
        <v>151</v>
      </c>
      <c r="B4" s="14" t="s">
        <v>152</v>
      </c>
      <c r="C4" s="14" t="s">
        <v>153</v>
      </c>
      <c r="D4" s="14" t="s">
        <v>154</v>
      </c>
      <c r="E4" s="14" t="s">
        <v>155</v>
      </c>
      <c r="F4" s="14" t="s">
        <v>24</v>
      </c>
      <c r="G4" s="14" t="s">
        <v>156</v>
      </c>
      <c r="H4" s="14" t="s">
        <v>157</v>
      </c>
      <c r="I4" s="14" t="s">
        <v>29</v>
      </c>
      <c r="J4" s="14" t="s">
        <v>158</v>
      </c>
    </row>
    <row r="5" customFormat="false" ht="15" hidden="false" customHeight="false" outlineLevel="0" collapsed="false">
      <c r="A5" s="26" t="s">
        <v>159</v>
      </c>
      <c r="B5" s="26" t="s">
        <v>17</v>
      </c>
      <c r="C5" s="26" t="s">
        <v>160</v>
      </c>
      <c r="D5" s="26" t="s">
        <v>161</v>
      </c>
      <c r="E5" s="26" t="n">
        <v>2</v>
      </c>
      <c r="F5" s="26" t="s">
        <v>162</v>
      </c>
      <c r="G5" s="26" t="s">
        <v>163</v>
      </c>
      <c r="H5" s="26" t="n">
        <v>8</v>
      </c>
      <c r="I5" s="26" t="s">
        <v>164</v>
      </c>
      <c r="J5" s="26" t="s">
        <v>165</v>
      </c>
    </row>
    <row r="6" customFormat="false" ht="15" hidden="false" customHeight="false" outlineLevel="0" collapsed="false">
      <c r="A6" s="26" t="s">
        <v>166</v>
      </c>
      <c r="B6" s="26" t="s">
        <v>17</v>
      </c>
      <c r="C6" s="26" t="s">
        <v>167</v>
      </c>
      <c r="D6" s="26" t="s">
        <v>168</v>
      </c>
      <c r="E6" s="26" t="n">
        <v>3</v>
      </c>
      <c r="F6" s="26" t="s">
        <v>162</v>
      </c>
      <c r="G6" s="26" t="s">
        <v>169</v>
      </c>
      <c r="H6" s="26" t="n">
        <v>6</v>
      </c>
      <c r="I6" s="26" t="s">
        <v>170</v>
      </c>
      <c r="J6" s="26"/>
    </row>
    <row r="7" customFormat="false" ht="15" hidden="false" customHeight="false" outlineLevel="0" collapsed="false">
      <c r="A7" s="26" t="s">
        <v>171</v>
      </c>
      <c r="B7" s="26" t="s">
        <v>16</v>
      </c>
      <c r="C7" s="26" t="s">
        <v>172</v>
      </c>
      <c r="D7" s="26" t="s">
        <v>173</v>
      </c>
      <c r="E7" s="26" t="n">
        <v>1</v>
      </c>
      <c r="F7" s="26" t="s">
        <v>174</v>
      </c>
      <c r="G7" s="26" t="s">
        <v>175</v>
      </c>
      <c r="H7" s="26" t="n">
        <v>5</v>
      </c>
      <c r="I7" s="26" t="s">
        <v>164</v>
      </c>
      <c r="J7" s="26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7" min="3" style="0" width="12"/>
    <col collapsed="false" customWidth="true" hidden="false" outlineLevel="0" max="8" min="8" style="0" width="15"/>
  </cols>
  <sheetData>
    <row r="1" customFormat="false" ht="15" hidden="false" customHeight="true" outlineLevel="0" collapsed="false">
      <c r="A1" s="36" t="s">
        <v>176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customFormat="false" ht="15" hidden="false" customHeight="false" outlineLevel="0" collapsed="false">
      <c r="A2" s="42" t="s">
        <v>177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4" customFormat="false" ht="15" hidden="false" customHeight="true" outlineLevel="0" collapsed="false">
      <c r="A4" s="38" t="s">
        <v>178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customFormat="false" ht="22.35" hidden="false" customHeight="false" outlineLevel="0" collapsed="false">
      <c r="A5" s="14" t="s">
        <v>179</v>
      </c>
      <c r="B5" s="14" t="s">
        <v>180</v>
      </c>
      <c r="C5" s="14" t="s">
        <v>181</v>
      </c>
      <c r="D5" s="14" t="s">
        <v>182</v>
      </c>
      <c r="E5" s="14" t="s">
        <v>183</v>
      </c>
      <c r="F5" s="14" t="s">
        <v>184</v>
      </c>
      <c r="G5" s="14" t="s">
        <v>185</v>
      </c>
      <c r="H5" s="14" t="s">
        <v>186</v>
      </c>
    </row>
    <row r="6" customFormat="false" ht="22.35" hidden="false" customHeight="false" outlineLevel="0" collapsed="false">
      <c r="A6" s="26" t="s">
        <v>187</v>
      </c>
      <c r="B6" s="26" t="s">
        <v>188</v>
      </c>
      <c r="C6" s="26" t="n">
        <v>10</v>
      </c>
      <c r="D6" s="26" t="s">
        <v>189</v>
      </c>
      <c r="E6" s="26" t="s">
        <v>162</v>
      </c>
      <c r="F6" s="26" t="s">
        <v>190</v>
      </c>
      <c r="G6" s="26" t="s">
        <v>191</v>
      </c>
      <c r="H6" s="26" t="s">
        <v>192</v>
      </c>
    </row>
    <row r="7" customFormat="false" ht="22.35" hidden="false" customHeight="false" outlineLevel="0" collapsed="false">
      <c r="A7" s="26" t="s">
        <v>193</v>
      </c>
      <c r="B7" s="26" t="s">
        <v>194</v>
      </c>
      <c r="C7" s="26" t="n">
        <v>9</v>
      </c>
      <c r="D7" s="26" t="s">
        <v>189</v>
      </c>
      <c r="E7" s="26" t="s">
        <v>195</v>
      </c>
      <c r="F7" s="26" t="s">
        <v>196</v>
      </c>
      <c r="G7" s="26" t="s">
        <v>197</v>
      </c>
      <c r="H7" s="26" t="s">
        <v>198</v>
      </c>
    </row>
    <row r="8" customFormat="false" ht="22.35" hidden="false" customHeight="false" outlineLevel="0" collapsed="false">
      <c r="A8" s="26" t="s">
        <v>199</v>
      </c>
      <c r="B8" s="26" t="s">
        <v>200</v>
      </c>
      <c r="C8" s="26" t="n">
        <v>8</v>
      </c>
      <c r="D8" s="26" t="s">
        <v>189</v>
      </c>
      <c r="E8" s="26" t="s">
        <v>195</v>
      </c>
      <c r="F8" s="26" t="s">
        <v>67</v>
      </c>
      <c r="G8" s="26" t="s">
        <v>191</v>
      </c>
      <c r="H8" s="26" t="s">
        <v>201</v>
      </c>
    </row>
    <row r="9" customFormat="false" ht="22.35" hidden="false" customHeight="false" outlineLevel="0" collapsed="false">
      <c r="A9" s="26" t="s">
        <v>202</v>
      </c>
      <c r="B9" s="26" t="s">
        <v>203</v>
      </c>
      <c r="C9" s="26" t="n">
        <v>7</v>
      </c>
      <c r="D9" s="26" t="s">
        <v>204</v>
      </c>
      <c r="E9" s="26" t="s">
        <v>162</v>
      </c>
      <c r="F9" s="26" t="s">
        <v>67</v>
      </c>
      <c r="G9" s="26" t="s">
        <v>191</v>
      </c>
      <c r="H9" s="26" t="s">
        <v>205</v>
      </c>
    </row>
    <row r="10" customFormat="false" ht="15" hidden="false" customHeight="false" outlineLevel="0" collapsed="false">
      <c r="A10" s="26" t="s">
        <v>206</v>
      </c>
      <c r="B10" s="26" t="s">
        <v>207</v>
      </c>
      <c r="C10" s="26" t="n">
        <v>10</v>
      </c>
      <c r="D10" s="26" t="s">
        <v>189</v>
      </c>
      <c r="E10" s="26" t="s">
        <v>162</v>
      </c>
      <c r="F10" s="26" t="s">
        <v>196</v>
      </c>
      <c r="G10" s="26" t="s">
        <v>197</v>
      </c>
      <c r="H10" s="26" t="s">
        <v>208</v>
      </c>
    </row>
    <row r="12" customFormat="false" ht="15" hidden="false" customHeight="true" outlineLevel="0" collapsed="false">
      <c r="A12" s="29" t="s">
        <v>209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customFormat="false" ht="15" hidden="false" customHeight="false" outlineLevel="0" collapsed="false">
      <c r="A13" s="15" t="s">
        <v>179</v>
      </c>
      <c r="B13" s="15" t="s">
        <v>210</v>
      </c>
      <c r="C13" s="15" t="s">
        <v>211</v>
      </c>
      <c r="D13" s="15" t="s">
        <v>212</v>
      </c>
      <c r="E13" s="15" t="s">
        <v>213</v>
      </c>
      <c r="F13" s="15" t="s">
        <v>214</v>
      </c>
      <c r="G13" s="15" t="s">
        <v>215</v>
      </c>
      <c r="H13" s="15" t="s">
        <v>216</v>
      </c>
    </row>
    <row r="14" customFormat="false" ht="15" hidden="false" customHeight="false" outlineLevel="0" collapsed="false">
      <c r="A14" s="26" t="s">
        <v>217</v>
      </c>
      <c r="B14" s="26" t="s">
        <v>218</v>
      </c>
      <c r="C14" s="26" t="n">
        <v>2</v>
      </c>
      <c r="D14" s="26" t="n">
        <v>0</v>
      </c>
      <c r="E14" s="26" t="n">
        <f aca="false">D14-C14</f>
        <v>-2</v>
      </c>
      <c r="F14" s="26" t="s">
        <v>174</v>
      </c>
      <c r="G14" s="26" t="s">
        <v>219</v>
      </c>
      <c r="H14" s="26" t="s">
        <v>220</v>
      </c>
    </row>
    <row r="15" customFormat="false" ht="15" hidden="false" customHeight="false" outlineLevel="0" collapsed="false">
      <c r="A15" s="26" t="s">
        <v>217</v>
      </c>
      <c r="B15" s="26" t="s">
        <v>221</v>
      </c>
      <c r="C15" s="26" t="n">
        <v>730</v>
      </c>
      <c r="D15" s="26" t="n">
        <v>0</v>
      </c>
      <c r="E15" s="26" t="n">
        <f aca="false">D15-C15</f>
        <v>-730</v>
      </c>
      <c r="F15" s="26" t="s">
        <v>162</v>
      </c>
      <c r="G15" s="26" t="s">
        <v>222</v>
      </c>
      <c r="H15" s="26" t="s">
        <v>223</v>
      </c>
    </row>
    <row r="16" customFormat="false" ht="15" hidden="false" customHeight="false" outlineLevel="0" collapsed="false">
      <c r="A16" s="26" t="s">
        <v>193</v>
      </c>
      <c r="B16" s="26" t="s">
        <v>224</v>
      </c>
      <c r="C16" s="26" t="n">
        <v>50</v>
      </c>
      <c r="D16" s="26" t="n">
        <v>5</v>
      </c>
      <c r="E16" s="26" t="n">
        <f aca="false">D16-C16</f>
        <v>-45</v>
      </c>
      <c r="F16" s="26" t="s">
        <v>162</v>
      </c>
      <c r="G16" s="26" t="s">
        <v>225</v>
      </c>
      <c r="H16" s="26" t="s">
        <v>226</v>
      </c>
    </row>
    <row r="17" customFormat="false" ht="15" hidden="false" customHeight="false" outlineLevel="0" collapsed="false">
      <c r="A17" s="26" t="s">
        <v>199</v>
      </c>
      <c r="B17" s="26" t="s">
        <v>227</v>
      </c>
      <c r="C17" s="26" t="n">
        <v>100</v>
      </c>
      <c r="D17" s="26" t="n">
        <v>0</v>
      </c>
      <c r="E17" s="26" t="n">
        <f aca="false">D17-C17</f>
        <v>-100</v>
      </c>
      <c r="F17" s="26" t="s">
        <v>195</v>
      </c>
      <c r="G17" s="26" t="s">
        <v>228</v>
      </c>
      <c r="H17" s="26" t="s">
        <v>229</v>
      </c>
    </row>
    <row r="18" customFormat="false" ht="15" hidden="false" customHeight="false" outlineLevel="0" collapsed="false">
      <c r="A18" s="26" t="s">
        <v>202</v>
      </c>
      <c r="B18" s="26" t="s">
        <v>230</v>
      </c>
      <c r="C18" s="26" t="n">
        <v>2</v>
      </c>
      <c r="D18" s="26" t="n">
        <v>0</v>
      </c>
      <c r="E18" s="26" t="n">
        <f aca="false">D18-C18</f>
        <v>-2</v>
      </c>
      <c r="F18" s="26" t="s">
        <v>162</v>
      </c>
      <c r="G18" s="26" t="s">
        <v>231</v>
      </c>
      <c r="H18" s="26" t="s">
        <v>232</v>
      </c>
    </row>
  </sheetData>
  <mergeCells count="4">
    <mergeCell ref="A1:L1"/>
    <mergeCell ref="A2:L2"/>
    <mergeCell ref="A4:L4"/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25"/>
  </cols>
  <sheetData>
    <row r="1" customFormat="false" ht="15" hidden="false" customHeight="true" outlineLevel="0" collapsed="false">
      <c r="A1" s="43" t="s">
        <v>233</v>
      </c>
      <c r="B1" s="43"/>
      <c r="C1" s="43"/>
      <c r="D1" s="43"/>
      <c r="E1" s="43"/>
      <c r="F1" s="43"/>
    </row>
    <row r="2" customFormat="false" ht="15" hidden="false" customHeight="false" outlineLevel="0" collapsed="false">
      <c r="A2" s="0" t="s">
        <v>234</v>
      </c>
      <c r="B2" s="13" t="s">
        <v>13</v>
      </c>
    </row>
    <row r="4" customFormat="false" ht="15" hidden="false" customHeight="false" outlineLevel="0" collapsed="false">
      <c r="B4" s="37" t="s">
        <v>91</v>
      </c>
      <c r="C4" s="37" t="s">
        <v>92</v>
      </c>
      <c r="D4" s="37" t="s">
        <v>93</v>
      </c>
      <c r="E4" s="37" t="s">
        <v>94</v>
      </c>
    </row>
    <row r="5" customFormat="false" ht="15" hidden="false" customHeight="false" outlineLevel="0" collapsed="false">
      <c r="A5" s="37" t="s">
        <v>36</v>
      </c>
      <c r="B5" s="26" t="s">
        <v>95</v>
      </c>
      <c r="C5" s="26" t="s">
        <v>95</v>
      </c>
      <c r="D5" s="26" t="s">
        <v>95</v>
      </c>
      <c r="E5" s="26" t="s">
        <v>95</v>
      </c>
    </row>
    <row r="6" customFormat="false" ht="15" hidden="false" customHeight="false" outlineLevel="0" collapsed="false">
      <c r="A6" s="37" t="s">
        <v>42</v>
      </c>
      <c r="B6" s="26" t="s">
        <v>95</v>
      </c>
      <c r="C6" s="26" t="s">
        <v>95</v>
      </c>
      <c r="D6" s="26" t="s">
        <v>95</v>
      </c>
      <c r="E6" s="26" t="s">
        <v>95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2026-02-16T13:09:37Z</dcterms:created>
  <dc:creator>openpyxl</dc:creator>
  <dc:description/>
  <dc:language>en-US</dc:language>
  <cp:lastModifiedBy/>
  <dcterms:modified xsi:type="dcterms:W3CDTF">2026-02-16T13:12:47Z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