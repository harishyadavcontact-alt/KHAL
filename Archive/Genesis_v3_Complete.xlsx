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 ROOM" sheetId="1" state="visible" r:id="rId3"/>
    <sheet name="Finance" sheetId="2" state="visible" r:id="rId4"/>
    <sheet name="Strategy Matr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<sst xmlns="http://schemas.openxmlformats.org/spreadsheetml/2006/main" count="226" uniqueCount="210">
  <si>
    <t xml:space="preserve">WAR ROOM - ANTIFRAGILITY MASTER INDEX</t>
  </si>
  <si>
    <t xml:space="preserve">THE PHILOSOPHER'S STONE: Asymmetry × Non-linearity = Transformation (Fragile → Robust → Antifragile)</t>
  </si>
  <si>
    <t xml:space="preserve">Level</t>
  </si>
  <si>
    <t xml:space="preserve">Domain/Section</t>
  </si>
  <si>
    <t xml:space="preserve">Stakes (1-10)</t>
  </si>
  <si>
    <t xml:space="preserve">Risk (1-10)</t>
  </si>
  <si>
    <t xml:space="preserve">Fragility</t>
  </si>
  <si>
    <t xml:space="preserve">Hedge %</t>
  </si>
  <si>
    <t xml:space="preserve">Edge #</t>
  </si>
  <si>
    <t xml:space="preserve">Status</t>
  </si>
  <si>
    <t xml:space="preserve">Link</t>
  </si>
  <si>
    <t xml:space="preserve">Notes</t>
  </si>
  <si>
    <t xml:space="preserve">PHYSICS - Law of Universe</t>
  </si>
  <si>
    <t xml:space="preserve">🔴 CRITICAL</t>
  </si>
  <si>
    <t xml:space="preserve">Physics</t>
  </si>
  <si>
    <t xml:space="preserve">Grid, CME, disasters</t>
  </si>
  <si>
    <t xml:space="preserve">BIOLOGY - Law of Nature</t>
  </si>
  <si>
    <t xml:space="preserve">🟡 MEDIUM</t>
  </si>
  <si>
    <t xml:space="preserve">Biology</t>
  </si>
  <si>
    <t xml:space="preserve">Atrophy, health, aging</t>
  </si>
  <si>
    <t xml:space="preserve">ECOLOGY - Law of Jungle</t>
  </si>
  <si>
    <t xml:space="preserve">🟢 STABLE</t>
  </si>
  <si>
    <t xml:space="preserve">Ecology</t>
  </si>
  <si>
    <t xml:space="preserve">Hierarchy, predation</t>
  </si>
  <si>
    <t xml:space="preserve">POLITICS - Law of Land</t>
  </si>
  <si>
    <t xml:space="preserve">Politics</t>
  </si>
  <si>
    <t xml:space="preserve">Legislation, violence</t>
  </si>
  <si>
    <t xml:space="preserve">FINANCE - Law of Time</t>
  </si>
  <si>
    <t xml:space="preserve">Finance</t>
  </si>
  <si>
    <t xml:space="preserve">Debt, fiat, markets</t>
  </si>
  <si>
    <t xml:space="preserve">NURTURE - Law of Nurture</t>
  </si>
  <si>
    <t xml:space="preserve">Nurture</t>
  </si>
  <si>
    <t xml:space="preserve">Culture, crowds</t>
  </si>
  <si>
    <t xml:space="preserve">HIERARCHICAL SUBSECTIONS (Drill-down capability)</t>
  </si>
  <si>
    <t xml:space="preserve">├─ PERSONAL</t>
  </si>
  <si>
    <t xml:space="preserve">Personal</t>
  </si>
  <si>
    <t xml:space="preserve">Self, skills, mindset</t>
  </si>
  <si>
    <t xml:space="preserve">│  ├─ Health</t>
  </si>
  <si>
    <t xml:space="preserve">Personal-Health</t>
  </si>
  <si>
    <t xml:space="preserve">Physical, mental</t>
  </si>
  <si>
    <t xml:space="preserve">│  ├─ Skills</t>
  </si>
  <si>
    <t xml:space="preserve">Personal-Skills</t>
  </si>
  <si>
    <t xml:space="preserve">Technical, social</t>
  </si>
  <si>
    <t xml:space="preserve">│  └─ Mindset</t>
  </si>
  <si>
    <t xml:space="preserve">Personal-Mindset</t>
  </si>
  <si>
    <t xml:space="preserve">Psychology, habits</t>
  </si>
  <si>
    <t xml:space="preserve">├─ FAMILIAL</t>
  </si>
  <si>
    <t xml:space="preserve">Familial</t>
  </si>
  <si>
    <t xml:space="preserve">Spouse, children, parents</t>
  </si>
  <si>
    <t xml:space="preserve">│  ├─ Spouse</t>
  </si>
  <si>
    <t xml:space="preserve">Familial-Spouse</t>
  </si>
  <si>
    <t xml:space="preserve">Partnership affairs</t>
  </si>
  <si>
    <t xml:space="preserve">│  ├─ Children</t>
  </si>
  <si>
    <t xml:space="preserve">Familial-Children</t>
  </si>
  <si>
    <t xml:space="preserve">Education, protection</t>
  </si>
  <si>
    <t xml:space="preserve">│  └─ Parents</t>
  </si>
  <si>
    <t xml:space="preserve">Familial-Parents</t>
  </si>
  <si>
    <t xml:space="preserve">Care, support</t>
  </si>
  <si>
    <t xml:space="preserve">├─ SOCIAL</t>
  </si>
  <si>
    <t xml:space="preserve">Social</t>
  </si>
  <si>
    <t xml:space="preserve">Network, reputation</t>
  </si>
  <si>
    <t xml:space="preserve">│  ├─ Friends</t>
  </si>
  <si>
    <t xml:space="preserve">Social-Friends</t>
  </si>
  <si>
    <t xml:space="preserve">Inner circle</t>
  </si>
  <si>
    <t xml:space="preserve">│  ├─ Network</t>
  </si>
  <si>
    <t xml:space="preserve">Social-Network</t>
  </si>
  <si>
    <t xml:space="preserve">Broader connections</t>
  </si>
  <si>
    <t xml:space="preserve">│  └─ Reputation</t>
  </si>
  <si>
    <t xml:space="preserve">Social-Reputation</t>
  </si>
  <si>
    <t xml:space="preserve">Public image</t>
  </si>
  <si>
    <t xml:space="preserve">├─ ECONOMIC</t>
  </si>
  <si>
    <t xml:space="preserve">Economic</t>
  </si>
  <si>
    <t xml:space="preserve">Income, assets, investments</t>
  </si>
  <si>
    <t xml:space="preserve">│  ├─ Income</t>
  </si>
  <si>
    <t xml:space="preserve">Economic-Income</t>
  </si>
  <si>
    <t xml:space="preserve">Cash flow, salary</t>
  </si>
  <si>
    <t xml:space="preserve">│  ├─ Assets</t>
  </si>
  <si>
    <t xml:space="preserve">Economic-Assets</t>
  </si>
  <si>
    <t xml:space="preserve">Property, savings</t>
  </si>
  <si>
    <t xml:space="preserve">│  └─ Investments</t>
  </si>
  <si>
    <t xml:space="preserve">Economic-Investments</t>
  </si>
  <si>
    <t xml:space="preserve">Portfolio, bets</t>
  </si>
  <si>
    <t xml:space="preserve">├─ POLITICAL</t>
  </si>
  <si>
    <t xml:space="preserve">Political</t>
  </si>
  <si>
    <t xml:space="preserve">Legal, national, international</t>
  </si>
  <si>
    <t xml:space="preserve">│  ├─ Local</t>
  </si>
  <si>
    <t xml:space="preserve">Political-Local</t>
  </si>
  <si>
    <t xml:space="preserve">City, community</t>
  </si>
  <si>
    <t xml:space="preserve">│  ├─ National</t>
  </si>
  <si>
    <t xml:space="preserve">Political-National</t>
  </si>
  <si>
    <t xml:space="preserve">Country-level</t>
  </si>
  <si>
    <t xml:space="preserve">│  └─ International</t>
  </si>
  <si>
    <t xml:space="preserve">Political-International</t>
  </si>
  <si>
    <t xml:space="preserve">Global affairs</t>
  </si>
  <si>
    <t xml:space="preserve">├─ PRIVATE (Covert)</t>
  </si>
  <si>
    <t xml:space="preserve">Private</t>
  </si>
  <si>
    <t xml:space="preserve">Hidden assets, backup plans</t>
  </si>
  <si>
    <t xml:space="preserve">│  ├─ Hidden Assets</t>
  </si>
  <si>
    <t xml:space="preserve">Private-Hidden</t>
  </si>
  <si>
    <t xml:space="preserve">Offshore, cash caches</t>
  </si>
  <si>
    <t xml:space="preserve">│  └─ Contingencies</t>
  </si>
  <si>
    <t xml:space="preserve">Private-Contingencies</t>
  </si>
  <si>
    <t xml:space="preserve">Escape routes, plans</t>
  </si>
  <si>
    <t xml:space="preserve">└─ PUBLIC (Overt)</t>
  </si>
  <si>
    <t xml:space="preserve">Public</t>
  </si>
  <si>
    <t xml:space="preserve">Brand, stated positions</t>
  </si>
  <si>
    <t xml:space="preserve">   ├─ Brand</t>
  </si>
  <si>
    <t xml:space="preserve">Public-Brand</t>
  </si>
  <si>
    <t xml:space="preserve">Reputation, image</t>
  </si>
  <si>
    <t xml:space="preserve">   └─ Stated Positions</t>
  </si>
  <si>
    <t xml:space="preserve">Public-Stated</t>
  </si>
  <si>
    <t xml:space="preserve">Public goals, rhetoric</t>
  </si>
  <si>
    <t xml:space="preserve">FINANCE - LAW OF TIME</t>
  </si>
  <si>
    <t xml:space="preserve">⚛️ PHILOSOPHER'S STONE: Transform time into antifragile wealth</t>
  </si>
  <si>
    <t xml:space="preserve">STATE OF THE ART</t>
  </si>
  <si>
    <t xml:space="preserve">Asymmetry</t>
  </si>
  <si>
    <t xml:space="preserve">Non-linearity: Vulnerabilities</t>
  </si>
  <si>
    <t xml:space="preserve">• Debt exposure ($50k)</t>
  </si>
  <si>
    <t xml:space="preserve">• Fiat currency collapse risk</t>
  </si>
  <si>
    <t xml:space="preserve">• Market volatility dependency</t>
  </si>
  <si>
    <t xml:space="preserve">ENDS: Barbell Strategy</t>
  </si>
  <si>
    <t xml:space="preserve">HEDGE (90% - Defense)</t>
  </si>
  <si>
    <t xml:space="preserve">EDGE (10% - Offense)</t>
  </si>
  <si>
    <t xml:space="preserve">□ Clear all debt ($50k)</t>
  </si>
  <si>
    <t xml:space="preserve">○ Bitcoin 10% position (Convexity: 5.0)</t>
  </si>
  <si>
    <t xml:space="preserve">□ Buy 50oz physical gold</t>
  </si>
  <si>
    <t xml:space="preserve">○ Deep OTM AI calls (Convexity: 10.0)</t>
  </si>
  <si>
    <t xml:space="preserve">□ Set up offshore trust</t>
  </si>
  <si>
    <t xml:space="preserve">○ Master sales skill (Convexity: ∞)</t>
  </si>
  <si>
    <t xml:space="preserve">□ Keep 6 months cash reserve</t>
  </si>
  <si>
    <t xml:space="preserve">□ Diversify income streams</t>
  </si>
  <si>
    <t xml:space="preserve">MEANS: Heuristics &amp; Methods</t>
  </si>
  <si>
    <t xml:space="preserve">Heuristic</t>
  </si>
  <si>
    <t xml:space="preserve">Methods/Techniques Bred From It</t>
  </si>
  <si>
    <t xml:space="preserve">Via Negativa</t>
  </si>
  <si>
    <t xml:space="preserve">Debt elimination protocol, Cut toxic relationships, Remove fragility first</t>
  </si>
  <si>
    <t xml:space="preserve">Fuck You Money</t>
  </si>
  <si>
    <t xml:space="preserve">Build $1M portfolio, Escape wage slavery, Enter rich-get-richer group</t>
  </si>
  <si>
    <t xml:space="preserve">Lindy Effect</t>
  </si>
  <si>
    <t xml:space="preserve">Gold &gt; crypto for defense, Trust old institutions, Prefer proven methods</t>
  </si>
  <si>
    <t xml:space="preserve">Skin in the Game</t>
  </si>
  <si>
    <t xml:space="preserve">Follow revealed preferences, Track competitor stakes, Watch money not words</t>
  </si>
  <si>
    <t xml:space="preserve">STATE OF AFFAIRS</t>
  </si>
  <si>
    <t xml:space="preserve">AFFAIRS (Defensive Tasks from Hedge)</t>
  </si>
  <si>
    <t xml:space="preserve">ID</t>
  </si>
  <si>
    <t xml:space="preserve">Task</t>
  </si>
  <si>
    <t xml:space="preserve">Priority</t>
  </si>
  <si>
    <t xml:space="preserve">Due Date</t>
  </si>
  <si>
    <t xml:space="preserve">Progress %</t>
  </si>
  <si>
    <t xml:space="preserve">Subtasks</t>
  </si>
  <si>
    <t xml:space="preserve">AF001</t>
  </si>
  <si>
    <t xml:space="preserve">Clear all debt</t>
  </si>
  <si>
    <t xml:space="preserve">IN PROGRESS</t>
  </si>
  <si>
    <t xml:space="preserve">3 subtasks</t>
  </si>
  <si>
    <t xml:space="preserve">AF002</t>
  </si>
  <si>
    <t xml:space="preserve">Buy 50oz gold</t>
  </si>
  <si>
    <t xml:space="preserve">NOT STARTED</t>
  </si>
  <si>
    <t xml:space="preserve">2 subtasks</t>
  </si>
  <si>
    <t xml:space="preserve">AF003</t>
  </si>
  <si>
    <t xml:space="preserve">Offshore trust</t>
  </si>
  <si>
    <t xml:space="preserve">5 subtasks</t>
  </si>
  <si>
    <t xml:space="preserve">INTERESTS (Offensive Bets from Edge)</t>
  </si>
  <si>
    <t xml:space="preserve">Bet</t>
  </si>
  <si>
    <t xml:space="preserve">Convexity</t>
  </si>
  <si>
    <t xml:space="preserve">Allocation</t>
  </si>
  <si>
    <t xml:space="preserve">Upside</t>
  </si>
  <si>
    <t xml:space="preserve">Downside</t>
  </si>
  <si>
    <t xml:space="preserve">IN001</t>
  </si>
  <si>
    <t xml:space="preserve">Bitcoin 10%</t>
  </si>
  <si>
    <t xml:space="preserve">$5,000</t>
  </si>
  <si>
    <t xml:space="preserve">Unlimited</t>
  </si>
  <si>
    <t xml:space="preserve">10% max</t>
  </si>
  <si>
    <t xml:space="preserve">IN002</t>
  </si>
  <si>
    <t xml:space="preserve">NVDA OTM calls</t>
  </si>
  <si>
    <t xml:space="preserve">$500</t>
  </si>
  <si>
    <t xml:space="preserve">100x</t>
  </si>
  <si>
    <t xml:space="preserve">Premium only</t>
  </si>
  <si>
    <t xml:space="preserve">IN003</t>
  </si>
  <si>
    <t xml:space="preserve">Sales mastery</t>
  </si>
  <si>
    <t xml:space="preserve">200hrs</t>
  </si>
  <si>
    <t xml:space="preserve">Uncapped income</t>
  </si>
  <si>
    <t xml:space="preserve">Time only</t>
  </si>
  <si>
    <t xml:space="preserve">STRATEGY MATRIX - 6 FRONTS CIRCLE</t>
  </si>
  <si>
    <t xml:space="preserve">Front</t>
  </si>
  <si>
    <t xml:space="preserve">Your %</t>
  </si>
  <si>
    <t xml:space="preserve">Active Moves</t>
  </si>
  <si>
    <t xml:space="preserve">Strength</t>
  </si>
  <si>
    <t xml:space="preserve">ALLIES</t>
  </si>
  <si>
    <t xml:space="preserve">🟢 STRONG</t>
  </si>
  <si>
    <t xml:space="preserve">Partner X, Network Y, Mentor Z</t>
  </si>
  <si>
    <t xml:space="preserve">ENEMIES</t>
  </si>
  <si>
    <t xml:space="preserve">🟡 MONITORED</t>
  </si>
  <si>
    <t xml:space="preserve">Competitor A (track only)</t>
  </si>
  <si>
    <t xml:space="preserve">OVERT (Rhetoric)</t>
  </si>
  <si>
    <t xml:space="preserve">🟢 ACTIVE</t>
  </si>
  <si>
    <t xml:space="preserve">Public brand, stated goals, LinkedIn presence</t>
  </si>
  <si>
    <t xml:space="preserve">COVERT (Hidden)</t>
  </si>
  <si>
    <t xml:space="preserve">🟡 BUILDING</t>
  </si>
  <si>
    <t xml:space="preserve">OFFENSE</t>
  </si>
  <si>
    <t xml:space="preserve">🟢 EXECUTING</t>
  </si>
  <si>
    <t xml:space="preserve">Interests active, asymmetric bets placed</t>
  </si>
  <si>
    <t xml:space="preserve">DEFENSE</t>
  </si>
  <si>
    <t xml:space="preserve">🟡 IN PROGRESS</t>
  </si>
  <si>
    <t xml:space="preserve">Affairs 35% complete, hedges being built</t>
  </si>
  <si>
    <t xml:space="preserve">CONVENTIONAL</t>
  </si>
  <si>
    <t xml:space="preserve">🟢 STANDARD</t>
  </si>
  <si>
    <t xml:space="preserve">By-the-book plays, proven methods</t>
  </si>
  <si>
    <t xml:space="preserve">UNCONVENTIONAL</t>
  </si>
  <si>
    <t xml:space="preserve">🟡 EXPERIMENTAL</t>
  </si>
  <si>
    <t xml:space="preserve">Guerrilla tactics, creative approaches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</si>
</sst>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-mmm\-yy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FFD700"/>
      <name val="Arial"/>
      <family val="0"/>
      <charset val="1"/>
    </font>
    <font>
      <b val="true"/>
      <sz val="14"/>
      <color rgb="FF0000FF"/>
      <name val="Cambria"/>
      <family val="0"/>
      <charset val="1"/>
    </font>
    <font>
      <b val="true"/>
      <sz val="14"/>
      <color rgb="FFFF000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0000"/>
      <name val="Cambria"/>
      <family val="0"/>
      <charset val="1"/>
    </font>
    <font>
      <sz val="11"/>
      <color rgb="FF0000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4A4A4A"/>
        <bgColor rgb="FF2F4F4F"/>
      </patternFill>
    </fill>
    <fill>
      <patternFill patternType="solid">
        <fgColor rgb="FF1F4E78"/>
        <bgColor rgb="FF2F4F4F"/>
      </patternFill>
    </fill>
    <fill>
      <patternFill patternType="solid">
        <fgColor rgb="FF8B0000"/>
        <bgColor rgb="FF800000"/>
      </patternFill>
    </fill>
    <fill>
      <patternFill patternType="solid">
        <fgColor rgb="FF2F4F4F"/>
        <bgColor rgb="FF4A4A4A"/>
      </patternFill>
    </fill>
    <fill>
      <patternFill patternType="solid">
        <fgColor rgb="FF10B981"/>
        <bgColor rgb="FF33CCCC"/>
      </patternFill>
    </fill>
    <fill>
      <patternFill patternType="solid">
        <fgColor rgb="FFEF4444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F4444"/>
      <rgbColor rgb="FF666699"/>
      <rgbColor rgb="FF969696"/>
      <rgbColor rgb="FF003366"/>
      <rgbColor rgb="FF10B981"/>
      <rgbColor rgb="FF003300"/>
      <rgbColor rgb="FF2F4F4F"/>
      <rgbColor rgb="FF993300"/>
      <rgbColor rgb="FF993366"/>
      <rgbColor rgb="FF1F4E78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0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0" t="n">
        <v>1</v>
      </c>
      <c r="B5" s="4" t="s">
        <v>12</v>
      </c>
      <c r="C5" s="5" t="n">
        <v>9</v>
      </c>
      <c r="D5" s="5" t="n">
        <v>8</v>
      </c>
      <c r="E5" s="6" t="n">
        <f aca="false">C5*D5</f>
        <v>72</v>
      </c>
      <c r="F5" s="0" t="n">
        <v>20</v>
      </c>
      <c r="G5" s="0" t="n">
        <v>0</v>
      </c>
      <c r="H5" s="7" t="s">
        <v>13</v>
      </c>
      <c r="I5" s="7" t="s">
        <v>14</v>
      </c>
      <c r="J5" s="7" t="s">
        <v>15</v>
      </c>
    </row>
    <row r="6" customFormat="false" ht="15" hidden="false" customHeight="false" outlineLevel="0" collapsed="false">
      <c r="A6" s="0" t="n">
        <v>1</v>
      </c>
      <c r="B6" s="4" t="s">
        <v>16</v>
      </c>
      <c r="C6" s="5" t="n">
        <v>7</v>
      </c>
      <c r="D6" s="5" t="n">
        <v>6</v>
      </c>
      <c r="E6" s="6" t="n">
        <f aca="false">C6*D6</f>
        <v>42</v>
      </c>
      <c r="F6" s="0" t="n">
        <v>30</v>
      </c>
      <c r="G6" s="0" t="n">
        <v>1</v>
      </c>
      <c r="H6" s="7" t="s">
        <v>17</v>
      </c>
      <c r="I6" s="7" t="s">
        <v>18</v>
      </c>
      <c r="J6" s="7" t="s">
        <v>19</v>
      </c>
    </row>
    <row r="7" customFormat="false" ht="15" hidden="false" customHeight="false" outlineLevel="0" collapsed="false">
      <c r="A7" s="0" t="n">
        <v>1</v>
      </c>
      <c r="B7" s="4" t="s">
        <v>20</v>
      </c>
      <c r="C7" s="5" t="n">
        <v>6</v>
      </c>
      <c r="D7" s="5" t="n">
        <v>5</v>
      </c>
      <c r="E7" s="6" t="n">
        <f aca="false">C7*D7</f>
        <v>30</v>
      </c>
      <c r="F7" s="0" t="n">
        <v>40</v>
      </c>
      <c r="G7" s="0" t="n">
        <v>2</v>
      </c>
      <c r="H7" s="7" t="s">
        <v>21</v>
      </c>
      <c r="I7" s="7" t="s">
        <v>22</v>
      </c>
      <c r="J7" s="7" t="s">
        <v>23</v>
      </c>
    </row>
    <row r="8" customFormat="false" ht="15" hidden="false" customHeight="false" outlineLevel="0" collapsed="false">
      <c r="A8" s="0" t="n">
        <v>1</v>
      </c>
      <c r="B8" s="4" t="s">
        <v>24</v>
      </c>
      <c r="C8" s="5" t="n">
        <v>8</v>
      </c>
      <c r="D8" s="5" t="n">
        <v>7</v>
      </c>
      <c r="E8" s="6" t="n">
        <f aca="false">C8*D8</f>
        <v>56</v>
      </c>
      <c r="F8" s="0" t="n">
        <v>25</v>
      </c>
      <c r="G8" s="0" t="n">
        <v>1</v>
      </c>
      <c r="H8" s="7" t="s">
        <v>17</v>
      </c>
      <c r="I8" s="7" t="s">
        <v>25</v>
      </c>
      <c r="J8" s="7" t="s">
        <v>26</v>
      </c>
    </row>
    <row r="9" customFormat="false" ht="15" hidden="false" customHeight="false" outlineLevel="0" collapsed="false">
      <c r="A9" s="0" t="n">
        <v>1</v>
      </c>
      <c r="B9" s="4" t="s">
        <v>27</v>
      </c>
      <c r="C9" s="5" t="n">
        <v>10</v>
      </c>
      <c r="D9" s="5" t="n">
        <v>8</v>
      </c>
      <c r="E9" s="6" t="n">
        <f aca="false">C9*D9</f>
        <v>80</v>
      </c>
      <c r="F9" s="0" t="n">
        <v>35</v>
      </c>
      <c r="G9" s="0" t="n">
        <v>3</v>
      </c>
      <c r="H9" s="7" t="s">
        <v>13</v>
      </c>
      <c r="I9" s="7" t="s">
        <v>28</v>
      </c>
      <c r="J9" s="7" t="s">
        <v>29</v>
      </c>
    </row>
    <row r="10" customFormat="false" ht="15" hidden="false" customHeight="false" outlineLevel="0" collapsed="false">
      <c r="A10" s="0" t="n">
        <v>1</v>
      </c>
      <c r="B10" s="4" t="s">
        <v>30</v>
      </c>
      <c r="C10" s="5" t="n">
        <v>5</v>
      </c>
      <c r="D10" s="5" t="n">
        <v>4</v>
      </c>
      <c r="E10" s="6" t="n">
        <f aca="false">C10*D10</f>
        <v>20</v>
      </c>
      <c r="F10" s="0" t="n">
        <v>50</v>
      </c>
      <c r="G10" s="0" t="n">
        <v>2</v>
      </c>
      <c r="H10" s="7" t="s">
        <v>21</v>
      </c>
      <c r="I10" s="7" t="s">
        <v>31</v>
      </c>
      <c r="J10" s="7" t="s">
        <v>32</v>
      </c>
    </row>
    <row r="12" customFormat="false" ht="15" hidden="false" customHeight="true" outlineLevel="0" collapsed="false">
      <c r="A12" s="8" t="s">
        <v>33</v>
      </c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0" t="n">
        <v>2</v>
      </c>
      <c r="B13" s="9" t="s">
        <v>34</v>
      </c>
      <c r="I13" s="7" t="s">
        <v>35</v>
      </c>
      <c r="J13" s="7" t="s">
        <v>36</v>
      </c>
    </row>
    <row r="14" customFormat="false" ht="15" hidden="false" customHeight="false" outlineLevel="0" collapsed="false">
      <c r="A14" s="0" t="n">
        <v>3</v>
      </c>
      <c r="B14" s="10" t="s">
        <v>37</v>
      </c>
      <c r="I14" s="7" t="s">
        <v>38</v>
      </c>
      <c r="J14" s="7" t="s">
        <v>39</v>
      </c>
    </row>
    <row r="15" customFormat="false" ht="15" hidden="false" customHeight="false" outlineLevel="0" collapsed="false">
      <c r="A15" s="0" t="n">
        <v>3</v>
      </c>
      <c r="B15" s="10" t="s">
        <v>40</v>
      </c>
      <c r="I15" s="7" t="s">
        <v>41</v>
      </c>
      <c r="J15" s="7" t="s">
        <v>42</v>
      </c>
    </row>
    <row r="16" customFormat="false" ht="15" hidden="false" customHeight="false" outlineLevel="0" collapsed="false">
      <c r="A16" s="0" t="n">
        <v>3</v>
      </c>
      <c r="B16" s="10" t="s">
        <v>43</v>
      </c>
      <c r="I16" s="7" t="s">
        <v>44</v>
      </c>
      <c r="J16" s="7" t="s">
        <v>45</v>
      </c>
    </row>
    <row r="17" customFormat="false" ht="15" hidden="false" customHeight="false" outlineLevel="0" collapsed="false">
      <c r="A17" s="0" t="n">
        <v>2</v>
      </c>
      <c r="B17" s="9" t="s">
        <v>46</v>
      </c>
      <c r="I17" s="7" t="s">
        <v>47</v>
      </c>
      <c r="J17" s="7" t="s">
        <v>48</v>
      </c>
    </row>
    <row r="18" customFormat="false" ht="15" hidden="false" customHeight="false" outlineLevel="0" collapsed="false">
      <c r="A18" s="0" t="n">
        <v>3</v>
      </c>
      <c r="B18" s="10" t="s">
        <v>49</v>
      </c>
      <c r="I18" s="7" t="s">
        <v>50</v>
      </c>
      <c r="J18" s="7" t="s">
        <v>51</v>
      </c>
    </row>
    <row r="19" customFormat="false" ht="15" hidden="false" customHeight="false" outlineLevel="0" collapsed="false">
      <c r="A19" s="0" t="n">
        <v>3</v>
      </c>
      <c r="B19" s="10" t="s">
        <v>52</v>
      </c>
      <c r="I19" s="7" t="s">
        <v>53</v>
      </c>
      <c r="J19" s="7" t="s">
        <v>54</v>
      </c>
    </row>
    <row r="20" customFormat="false" ht="15" hidden="false" customHeight="false" outlineLevel="0" collapsed="false">
      <c r="A20" s="0" t="n">
        <v>3</v>
      </c>
      <c r="B20" s="10" t="s">
        <v>55</v>
      </c>
      <c r="I20" s="7" t="s">
        <v>56</v>
      </c>
      <c r="J20" s="7" t="s">
        <v>57</v>
      </c>
    </row>
    <row r="21" customFormat="false" ht="15" hidden="false" customHeight="false" outlineLevel="0" collapsed="false">
      <c r="A21" s="0" t="n">
        <v>2</v>
      </c>
      <c r="B21" s="9" t="s">
        <v>58</v>
      </c>
      <c r="I21" s="7" t="s">
        <v>59</v>
      </c>
      <c r="J21" s="7" t="s">
        <v>60</v>
      </c>
    </row>
    <row r="22" customFormat="false" ht="15" hidden="false" customHeight="false" outlineLevel="0" collapsed="false">
      <c r="A22" s="0" t="n">
        <v>3</v>
      </c>
      <c r="B22" s="10" t="s">
        <v>61</v>
      </c>
      <c r="I22" s="7" t="s">
        <v>62</v>
      </c>
      <c r="J22" s="7" t="s">
        <v>63</v>
      </c>
    </row>
    <row r="23" customFormat="false" ht="15" hidden="false" customHeight="false" outlineLevel="0" collapsed="false">
      <c r="A23" s="0" t="n">
        <v>3</v>
      </c>
      <c r="B23" s="10" t="s">
        <v>64</v>
      </c>
      <c r="I23" s="7" t="s">
        <v>65</v>
      </c>
      <c r="J23" s="7" t="s">
        <v>66</v>
      </c>
    </row>
    <row r="24" customFormat="false" ht="15" hidden="false" customHeight="false" outlineLevel="0" collapsed="false">
      <c r="A24" s="0" t="n">
        <v>3</v>
      </c>
      <c r="B24" s="10" t="s">
        <v>67</v>
      </c>
      <c r="I24" s="7" t="s">
        <v>68</v>
      </c>
      <c r="J24" s="7" t="s">
        <v>69</v>
      </c>
    </row>
    <row r="25" customFormat="false" ht="15" hidden="false" customHeight="false" outlineLevel="0" collapsed="false">
      <c r="A25" s="0" t="n">
        <v>2</v>
      </c>
      <c r="B25" s="9" t="s">
        <v>70</v>
      </c>
      <c r="I25" s="7" t="s">
        <v>71</v>
      </c>
      <c r="J25" s="7" t="s">
        <v>72</v>
      </c>
    </row>
    <row r="26" customFormat="false" ht="15" hidden="false" customHeight="false" outlineLevel="0" collapsed="false">
      <c r="A26" s="0" t="n">
        <v>3</v>
      </c>
      <c r="B26" s="10" t="s">
        <v>73</v>
      </c>
      <c r="I26" s="7" t="s">
        <v>74</v>
      </c>
      <c r="J26" s="7" t="s">
        <v>75</v>
      </c>
    </row>
    <row r="27" customFormat="false" ht="15" hidden="false" customHeight="false" outlineLevel="0" collapsed="false">
      <c r="A27" s="0" t="n">
        <v>3</v>
      </c>
      <c r="B27" s="10" t="s">
        <v>76</v>
      </c>
      <c r="I27" s="7" t="s">
        <v>77</v>
      </c>
      <c r="J27" s="7" t="s">
        <v>78</v>
      </c>
    </row>
    <row r="28" customFormat="false" ht="15" hidden="false" customHeight="false" outlineLevel="0" collapsed="false">
      <c r="A28" s="0" t="n">
        <v>3</v>
      </c>
      <c r="B28" s="10" t="s">
        <v>79</v>
      </c>
      <c r="I28" s="7" t="s">
        <v>80</v>
      </c>
      <c r="J28" s="7" t="s">
        <v>81</v>
      </c>
    </row>
    <row r="29" customFormat="false" ht="15" hidden="false" customHeight="false" outlineLevel="0" collapsed="false">
      <c r="A29" s="0" t="n">
        <v>2</v>
      </c>
      <c r="B29" s="9" t="s">
        <v>82</v>
      </c>
      <c r="I29" s="7" t="s">
        <v>83</v>
      </c>
      <c r="J29" s="7" t="s">
        <v>84</v>
      </c>
    </row>
    <row r="30" customFormat="false" ht="15" hidden="false" customHeight="false" outlineLevel="0" collapsed="false">
      <c r="A30" s="0" t="n">
        <v>3</v>
      </c>
      <c r="B30" s="10" t="s">
        <v>85</v>
      </c>
      <c r="I30" s="7" t="s">
        <v>86</v>
      </c>
      <c r="J30" s="7" t="s">
        <v>87</v>
      </c>
    </row>
    <row r="31" customFormat="false" ht="15" hidden="false" customHeight="false" outlineLevel="0" collapsed="false">
      <c r="A31" s="0" t="n">
        <v>3</v>
      </c>
      <c r="B31" s="10" t="s">
        <v>88</v>
      </c>
      <c r="I31" s="7" t="s">
        <v>89</v>
      </c>
      <c r="J31" s="7" t="s">
        <v>90</v>
      </c>
    </row>
    <row r="32" customFormat="false" ht="15" hidden="false" customHeight="false" outlineLevel="0" collapsed="false">
      <c r="A32" s="0" t="n">
        <v>3</v>
      </c>
      <c r="B32" s="10" t="s">
        <v>91</v>
      </c>
      <c r="I32" s="7" t="s">
        <v>92</v>
      </c>
      <c r="J32" s="7" t="s">
        <v>93</v>
      </c>
    </row>
    <row r="33" customFormat="false" ht="15" hidden="false" customHeight="false" outlineLevel="0" collapsed="false">
      <c r="A33" s="0" t="n">
        <v>2</v>
      </c>
      <c r="B33" s="9" t="s">
        <v>94</v>
      </c>
      <c r="I33" s="7" t="s">
        <v>95</v>
      </c>
      <c r="J33" s="7" t="s">
        <v>96</v>
      </c>
    </row>
    <row r="34" customFormat="false" ht="15" hidden="false" customHeight="false" outlineLevel="0" collapsed="false">
      <c r="A34" s="0" t="n">
        <v>3</v>
      </c>
      <c r="B34" s="10" t="s">
        <v>97</v>
      </c>
      <c r="I34" s="7" t="s">
        <v>98</v>
      </c>
      <c r="J34" s="7" t="s">
        <v>99</v>
      </c>
    </row>
    <row r="35" customFormat="false" ht="15" hidden="false" customHeight="false" outlineLevel="0" collapsed="false">
      <c r="A35" s="0" t="n">
        <v>3</v>
      </c>
      <c r="B35" s="10" t="s">
        <v>100</v>
      </c>
      <c r="I35" s="7" t="s">
        <v>101</v>
      </c>
      <c r="J35" s="7" t="s">
        <v>102</v>
      </c>
    </row>
    <row r="36" customFormat="false" ht="15" hidden="false" customHeight="false" outlineLevel="0" collapsed="false">
      <c r="A36" s="0" t="n">
        <v>2</v>
      </c>
      <c r="B36" s="9" t="s">
        <v>103</v>
      </c>
      <c r="I36" s="7" t="s">
        <v>104</v>
      </c>
      <c r="J36" s="7" t="s">
        <v>105</v>
      </c>
    </row>
    <row r="37" customFormat="false" ht="15" hidden="false" customHeight="false" outlineLevel="0" collapsed="false">
      <c r="A37" s="0" t="n">
        <v>3</v>
      </c>
      <c r="B37" s="10" t="s">
        <v>106</v>
      </c>
      <c r="I37" s="7" t="s">
        <v>107</v>
      </c>
      <c r="J37" s="7" t="s">
        <v>108</v>
      </c>
    </row>
    <row r="38" customFormat="false" ht="15" hidden="false" customHeight="false" outlineLevel="0" collapsed="false">
      <c r="A38" s="0" t="n">
        <v>3</v>
      </c>
      <c r="B38" s="10" t="s">
        <v>109</v>
      </c>
      <c r="I38" s="7" t="s">
        <v>110</v>
      </c>
      <c r="J38" s="7" t="s">
        <v>111</v>
      </c>
    </row>
  </sheetData>
  <mergeCells count="3">
    <mergeCell ref="A1:J1"/>
    <mergeCell ref="A2:J2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20"/>
  </cols>
  <sheetData>
    <row r="1" customFormat="false" ht="17.35" hidden="false" customHeight="true" outlineLevel="0" collapsed="false">
      <c r="A1" s="11" t="s">
        <v>112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12" t="s">
        <v>113</v>
      </c>
      <c r="B2" s="12"/>
      <c r="C2" s="12"/>
      <c r="D2" s="12"/>
      <c r="E2" s="12"/>
      <c r="F2" s="12"/>
      <c r="G2" s="12"/>
    </row>
    <row r="4" customFormat="false" ht="15" hidden="false" customHeight="true" outlineLevel="0" collapsed="false">
      <c r="A4" s="13" t="s">
        <v>114</v>
      </c>
      <c r="B4" s="13"/>
      <c r="C4" s="13"/>
      <c r="D4" s="13"/>
      <c r="E4" s="13"/>
      <c r="F4" s="13"/>
      <c r="G4" s="13"/>
    </row>
    <row r="5" customFormat="false" ht="17.35" hidden="false" customHeight="false" outlineLevel="0" collapsed="false">
      <c r="A5" s="0" t="s">
        <v>115</v>
      </c>
      <c r="B5" s="14" t="s">
        <v>4</v>
      </c>
      <c r="C5" s="15" t="n">
        <v>10</v>
      </c>
      <c r="D5" s="14" t="s">
        <v>5</v>
      </c>
      <c r="E5" s="15" t="n">
        <v>8</v>
      </c>
      <c r="F5" s="14" t="s">
        <v>6</v>
      </c>
      <c r="G5" s="16" t="n">
        <f aca="false">C5*E5</f>
        <v>80</v>
      </c>
    </row>
    <row r="7" customFormat="false" ht="15" hidden="false" customHeight="true" outlineLevel="0" collapsed="false">
      <c r="A7" s="14" t="s">
        <v>116</v>
      </c>
      <c r="B7" s="14"/>
      <c r="C7" s="14"/>
      <c r="D7" s="14"/>
      <c r="E7" s="14"/>
      <c r="F7" s="14"/>
      <c r="G7" s="14"/>
    </row>
    <row r="8" customFormat="false" ht="15" hidden="false" customHeight="true" outlineLevel="0" collapsed="false">
      <c r="A8" s="17" t="s">
        <v>117</v>
      </c>
      <c r="B8" s="17"/>
      <c r="C8" s="17"/>
      <c r="D8" s="17"/>
      <c r="E8" s="17"/>
      <c r="F8" s="17"/>
      <c r="G8" s="17"/>
    </row>
    <row r="9" customFormat="false" ht="15" hidden="false" customHeight="true" outlineLevel="0" collapsed="false">
      <c r="A9" s="17" t="s">
        <v>118</v>
      </c>
      <c r="B9" s="17"/>
      <c r="C9" s="17"/>
      <c r="D9" s="17"/>
      <c r="E9" s="17"/>
      <c r="F9" s="17"/>
      <c r="G9" s="17"/>
    </row>
    <row r="10" customFormat="false" ht="15" hidden="false" customHeight="true" outlineLevel="0" collapsed="false">
      <c r="A10" s="17" t="s">
        <v>119</v>
      </c>
      <c r="B10" s="17"/>
      <c r="C10" s="17"/>
      <c r="D10" s="17"/>
      <c r="E10" s="17"/>
      <c r="F10" s="17"/>
      <c r="G10" s="17"/>
    </row>
    <row r="12" customFormat="false" ht="15" hidden="false" customHeight="true" outlineLevel="0" collapsed="false">
      <c r="A12" s="8" t="s">
        <v>120</v>
      </c>
      <c r="B12" s="8"/>
      <c r="C12" s="8"/>
      <c r="D12" s="8"/>
      <c r="E12" s="8"/>
      <c r="F12" s="8"/>
      <c r="G12" s="8"/>
    </row>
    <row r="13" customFormat="false" ht="15" hidden="false" customHeight="true" outlineLevel="0" collapsed="false">
      <c r="A13" s="18" t="s">
        <v>121</v>
      </c>
      <c r="B13" s="18"/>
      <c r="C13" s="18"/>
      <c r="E13" s="19" t="s">
        <v>122</v>
      </c>
      <c r="F13" s="19"/>
      <c r="G13" s="19"/>
    </row>
    <row r="14" customFormat="false" ht="15" hidden="false" customHeight="true" outlineLevel="0" collapsed="false">
      <c r="A14" s="17" t="s">
        <v>123</v>
      </c>
      <c r="B14" s="17"/>
      <c r="C14" s="17"/>
      <c r="E14" s="17" t="s">
        <v>124</v>
      </c>
      <c r="F14" s="17"/>
      <c r="G14" s="17"/>
    </row>
    <row r="15" customFormat="false" ht="15" hidden="false" customHeight="true" outlineLevel="0" collapsed="false">
      <c r="A15" s="17" t="s">
        <v>125</v>
      </c>
      <c r="B15" s="17"/>
      <c r="C15" s="17"/>
      <c r="E15" s="17" t="s">
        <v>126</v>
      </c>
      <c r="F15" s="17"/>
      <c r="G15" s="17"/>
    </row>
    <row r="16" customFormat="false" ht="15" hidden="false" customHeight="true" outlineLevel="0" collapsed="false">
      <c r="A16" s="17" t="s">
        <v>127</v>
      </c>
      <c r="B16" s="17"/>
      <c r="C16" s="17"/>
      <c r="E16" s="17" t="s">
        <v>128</v>
      </c>
      <c r="F16" s="17"/>
      <c r="G16" s="17"/>
    </row>
    <row r="17" customFormat="false" ht="15" hidden="false" customHeight="true" outlineLevel="0" collapsed="false">
      <c r="A17" s="17" t="s">
        <v>129</v>
      </c>
      <c r="B17" s="17"/>
      <c r="C17" s="17"/>
    </row>
    <row r="18" customFormat="false" ht="15" hidden="false" customHeight="true" outlineLevel="0" collapsed="false">
      <c r="A18" s="17" t="s">
        <v>130</v>
      </c>
      <c r="B18" s="17"/>
      <c r="C18" s="17"/>
    </row>
    <row r="20" customFormat="false" ht="15" hidden="false" customHeight="true" outlineLevel="0" collapsed="false">
      <c r="A20" s="8" t="s">
        <v>131</v>
      </c>
      <c r="B20" s="8"/>
      <c r="C20" s="8"/>
      <c r="D20" s="8"/>
      <c r="E20" s="8"/>
      <c r="F20" s="8"/>
      <c r="G20" s="8"/>
    </row>
    <row r="21" customFormat="false" ht="26.85" hidden="false" customHeight="true" outlineLevel="0" collapsed="false">
      <c r="A21" s="20" t="s">
        <v>132</v>
      </c>
      <c r="B21" s="21" t="s">
        <v>133</v>
      </c>
      <c r="C21" s="21"/>
      <c r="D21" s="21"/>
      <c r="E21" s="21"/>
      <c r="F21" s="21"/>
      <c r="G21" s="21"/>
    </row>
    <row r="22" customFormat="false" ht="35.05" hidden="false" customHeight="true" outlineLevel="0" collapsed="false">
      <c r="A22" s="4" t="s">
        <v>134</v>
      </c>
      <c r="B22" s="17" t="s">
        <v>135</v>
      </c>
      <c r="C22" s="17"/>
      <c r="D22" s="17"/>
      <c r="E22" s="17"/>
      <c r="F22" s="17"/>
      <c r="G22" s="17"/>
    </row>
    <row r="23" customFormat="false" ht="35.05" hidden="false" customHeight="true" outlineLevel="0" collapsed="false">
      <c r="A23" s="4" t="s">
        <v>136</v>
      </c>
      <c r="B23" s="17" t="s">
        <v>137</v>
      </c>
      <c r="C23" s="17"/>
      <c r="D23" s="17"/>
      <c r="E23" s="17"/>
      <c r="F23" s="17"/>
      <c r="G23" s="17"/>
    </row>
    <row r="24" customFormat="false" ht="23.85" hidden="false" customHeight="true" outlineLevel="0" collapsed="false">
      <c r="A24" s="4" t="s">
        <v>138</v>
      </c>
      <c r="B24" s="17" t="s">
        <v>139</v>
      </c>
      <c r="C24" s="17"/>
      <c r="D24" s="17"/>
      <c r="E24" s="17"/>
      <c r="F24" s="17"/>
      <c r="G24" s="17"/>
    </row>
    <row r="25" customFormat="false" ht="35.05" hidden="false" customHeight="true" outlineLevel="0" collapsed="false">
      <c r="A25" s="4" t="s">
        <v>140</v>
      </c>
      <c r="B25" s="17" t="s">
        <v>141</v>
      </c>
      <c r="C25" s="17"/>
      <c r="D25" s="17"/>
      <c r="E25" s="17"/>
      <c r="F25" s="17"/>
      <c r="G25" s="17"/>
    </row>
    <row r="28" customFormat="false" ht="15" hidden="false" customHeight="true" outlineLevel="0" collapsed="false">
      <c r="A28" s="22" t="s">
        <v>142</v>
      </c>
      <c r="B28" s="22"/>
      <c r="C28" s="22"/>
      <c r="D28" s="22"/>
      <c r="E28" s="22"/>
      <c r="F28" s="22"/>
      <c r="G28" s="22"/>
    </row>
    <row r="29" customFormat="false" ht="15" hidden="false" customHeight="true" outlineLevel="0" collapsed="false">
      <c r="A29" s="18" t="s">
        <v>143</v>
      </c>
      <c r="B29" s="18"/>
      <c r="C29" s="18"/>
      <c r="D29" s="18"/>
      <c r="E29" s="18"/>
      <c r="F29" s="18"/>
      <c r="G29" s="18"/>
    </row>
    <row r="30" customFormat="false" ht="15" hidden="false" customHeight="false" outlineLevel="0" collapsed="false">
      <c r="A30" s="20" t="s">
        <v>144</v>
      </c>
      <c r="B30" s="20" t="s">
        <v>145</v>
      </c>
      <c r="C30" s="20" t="s">
        <v>146</v>
      </c>
      <c r="D30" s="20" t="s">
        <v>9</v>
      </c>
      <c r="E30" s="20" t="s">
        <v>147</v>
      </c>
      <c r="F30" s="20" t="s">
        <v>148</v>
      </c>
      <c r="G30" s="20" t="s">
        <v>149</v>
      </c>
    </row>
    <row r="31" customFormat="false" ht="15" hidden="false" customHeight="false" outlineLevel="0" collapsed="false">
      <c r="A31" s="9" t="s">
        <v>150</v>
      </c>
      <c r="B31" s="4" t="s">
        <v>151</v>
      </c>
      <c r="C31" s="5" t="n">
        <v>90</v>
      </c>
      <c r="D31" s="7" t="s">
        <v>152</v>
      </c>
      <c r="E31" s="23" t="n">
        <f aca="true">TODAY()+30</f>
        <v>46105</v>
      </c>
      <c r="F31" s="24" t="n">
        <v>0.35</v>
      </c>
      <c r="G31" s="7" t="s">
        <v>153</v>
      </c>
    </row>
    <row r="32" customFormat="false" ht="15" hidden="false" customHeight="false" outlineLevel="0" collapsed="false">
      <c r="A32" s="9" t="s">
        <v>154</v>
      </c>
      <c r="B32" s="4" t="s">
        <v>155</v>
      </c>
      <c r="C32" s="5" t="n">
        <v>80</v>
      </c>
      <c r="D32" s="7" t="s">
        <v>156</v>
      </c>
      <c r="E32" s="23" t="n">
        <f aca="true">TODAY()+7</f>
        <v>46082</v>
      </c>
      <c r="F32" s="24" t="n">
        <v>0</v>
      </c>
      <c r="G32" s="7" t="s">
        <v>157</v>
      </c>
    </row>
    <row r="33" customFormat="false" ht="15" hidden="false" customHeight="false" outlineLevel="0" collapsed="false">
      <c r="A33" s="9" t="s">
        <v>158</v>
      </c>
      <c r="B33" s="4" t="s">
        <v>159</v>
      </c>
      <c r="C33" s="5" t="n">
        <v>70</v>
      </c>
      <c r="D33" s="7" t="s">
        <v>156</v>
      </c>
      <c r="E33" s="23" t="n">
        <f aca="true">TODAY()+60</f>
        <v>46135</v>
      </c>
      <c r="F33" s="24" t="n">
        <v>0</v>
      </c>
      <c r="G33" s="7" t="s">
        <v>160</v>
      </c>
    </row>
    <row r="35" customFormat="false" ht="15" hidden="false" customHeight="true" outlineLevel="0" collapsed="false">
      <c r="A35" s="19" t="s">
        <v>161</v>
      </c>
      <c r="B35" s="19"/>
      <c r="C35" s="19"/>
      <c r="D35" s="19"/>
      <c r="E35" s="19"/>
      <c r="F35" s="19"/>
      <c r="G35" s="19"/>
    </row>
    <row r="36" customFormat="false" ht="15" hidden="false" customHeight="false" outlineLevel="0" collapsed="false">
      <c r="A36" s="20" t="s">
        <v>144</v>
      </c>
      <c r="B36" s="20" t="s">
        <v>162</v>
      </c>
      <c r="C36" s="20" t="s">
        <v>163</v>
      </c>
      <c r="D36" s="20" t="s">
        <v>164</v>
      </c>
      <c r="E36" s="20" t="s">
        <v>9</v>
      </c>
      <c r="F36" s="20" t="s">
        <v>165</v>
      </c>
      <c r="G36" s="20" t="s">
        <v>166</v>
      </c>
    </row>
    <row r="37" customFormat="false" ht="15" hidden="false" customHeight="false" outlineLevel="0" collapsed="false">
      <c r="A37" s="9" t="s">
        <v>167</v>
      </c>
      <c r="B37" s="4" t="s">
        <v>168</v>
      </c>
      <c r="C37" s="25" t="n">
        <v>5</v>
      </c>
      <c r="D37" s="5" t="s">
        <v>169</v>
      </c>
      <c r="E37" s="7" t="s">
        <v>156</v>
      </c>
      <c r="F37" s="7" t="s">
        <v>170</v>
      </c>
      <c r="G37" s="7" t="s">
        <v>171</v>
      </c>
    </row>
    <row r="38" customFormat="false" ht="15" hidden="false" customHeight="false" outlineLevel="0" collapsed="false">
      <c r="A38" s="9" t="s">
        <v>172</v>
      </c>
      <c r="B38" s="4" t="s">
        <v>173</v>
      </c>
      <c r="C38" s="25" t="n">
        <v>10</v>
      </c>
      <c r="D38" s="5" t="s">
        <v>174</v>
      </c>
      <c r="E38" s="7" t="s">
        <v>156</v>
      </c>
      <c r="F38" s="7" t="s">
        <v>175</v>
      </c>
      <c r="G38" s="7" t="s">
        <v>176</v>
      </c>
    </row>
    <row r="39" customFormat="false" ht="15" hidden="false" customHeight="false" outlineLevel="0" collapsed="false">
      <c r="A39" s="9" t="s">
        <v>177</v>
      </c>
      <c r="B39" s="4" t="s">
        <v>178</v>
      </c>
      <c r="C39" s="25" t="n">
        <v>999</v>
      </c>
      <c r="D39" s="5" t="s">
        <v>179</v>
      </c>
      <c r="E39" s="7" t="s">
        <v>152</v>
      </c>
      <c r="F39" s="7" t="s">
        <v>180</v>
      </c>
      <c r="G39" s="7" t="s">
        <v>181</v>
      </c>
    </row>
  </sheetData>
  <mergeCells count="27">
    <mergeCell ref="A1:G1"/>
    <mergeCell ref="A2:G2"/>
    <mergeCell ref="A4:G4"/>
    <mergeCell ref="A7:G7"/>
    <mergeCell ref="A8:G8"/>
    <mergeCell ref="A9:G9"/>
    <mergeCell ref="A10:G10"/>
    <mergeCell ref="A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A18:C18"/>
    <mergeCell ref="A20:G20"/>
    <mergeCell ref="B21:G21"/>
    <mergeCell ref="B22:G22"/>
    <mergeCell ref="B23:G23"/>
    <mergeCell ref="B24:G24"/>
    <mergeCell ref="B25:G25"/>
    <mergeCell ref="A28:G28"/>
    <mergeCell ref="A29:G29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5" hidden="false" customHeight="true" outlineLevel="0" collapsed="false">
      <c r="A1" s="26" t="s">
        <v>182</v>
      </c>
      <c r="B1" s="26"/>
      <c r="C1" s="26"/>
      <c r="D1" s="26"/>
      <c r="E1" s="26"/>
      <c r="F1" s="26"/>
    </row>
    <row r="3" customFormat="false" ht="26.85" hidden="false" customHeight="false" outlineLevel="0" collapsed="false">
      <c r="A3" s="20" t="s">
        <v>183</v>
      </c>
      <c r="B3" s="20" t="s">
        <v>184</v>
      </c>
      <c r="C3" s="20" t="s">
        <v>9</v>
      </c>
      <c r="D3" s="20" t="s">
        <v>185</v>
      </c>
      <c r="E3" s="20" t="s">
        <v>186</v>
      </c>
      <c r="F3" s="20" t="s">
        <v>11</v>
      </c>
    </row>
    <row r="4" customFormat="false" ht="15" hidden="false" customHeight="false" outlineLevel="0" collapsed="false">
      <c r="A4" s="4" t="s">
        <v>187</v>
      </c>
      <c r="B4" s="27" t="n">
        <v>0.4</v>
      </c>
      <c r="C4" s="7" t="s">
        <v>188</v>
      </c>
      <c r="D4" s="0" t="n">
        <v>3</v>
      </c>
      <c r="E4" s="28" t="n">
        <v>8</v>
      </c>
      <c r="F4" s="7" t="s">
        <v>189</v>
      </c>
    </row>
    <row r="5" customFormat="false" ht="15" hidden="false" customHeight="false" outlineLevel="0" collapsed="false">
      <c r="A5" s="4" t="s">
        <v>190</v>
      </c>
      <c r="B5" s="27" t="n">
        <v>0.1</v>
      </c>
      <c r="C5" s="7" t="s">
        <v>191</v>
      </c>
      <c r="D5" s="0" t="n">
        <v>1</v>
      </c>
      <c r="E5" s="28" t="n">
        <v>6</v>
      </c>
      <c r="F5" s="7" t="s">
        <v>192</v>
      </c>
    </row>
    <row r="6" customFormat="false" ht="15" hidden="false" customHeight="false" outlineLevel="0" collapsed="false">
      <c r="A6" s="4" t="s">
        <v>193</v>
      </c>
      <c r="B6" s="27" t="n">
        <v>0.6</v>
      </c>
      <c r="C6" s="7" t="s">
        <v>194</v>
      </c>
      <c r="D6" s="0" t="n">
        <v>5</v>
      </c>
      <c r="E6" s="28" t="n">
        <v>7</v>
      </c>
      <c r="F6" s="7" t="s">
        <v>195</v>
      </c>
    </row>
    <row r="7" customFormat="false" ht="15" hidden="false" customHeight="false" outlineLevel="0" collapsed="false">
      <c r="A7" s="4" t="s">
        <v>196</v>
      </c>
      <c r="B7" s="27" t="n">
        <v>0.4</v>
      </c>
      <c r="C7" s="7" t="s">
        <v>197</v>
      </c>
      <c r="D7" s="0" t="n">
        <v>2</v>
      </c>
      <c r="E7" s="28" t="n">
        <v>5</v>
      </c>
      <c r="F7" s="7" t="s">
        <v>96</v>
      </c>
    </row>
    <row r="8" customFormat="false" ht="15" hidden="false" customHeight="false" outlineLevel="0" collapsed="false">
      <c r="A8" s="4" t="s">
        <v>198</v>
      </c>
      <c r="B8" s="27" t="n">
        <v>0.1</v>
      </c>
      <c r="C8" s="7" t="s">
        <v>199</v>
      </c>
      <c r="D8" s="0" t="n">
        <v>3</v>
      </c>
      <c r="E8" s="28" t="n">
        <v>7</v>
      </c>
      <c r="F8" s="7" t="s">
        <v>200</v>
      </c>
    </row>
    <row r="9" customFormat="false" ht="15" hidden="false" customHeight="false" outlineLevel="0" collapsed="false">
      <c r="A9" s="4" t="s">
        <v>201</v>
      </c>
      <c r="B9" s="27" t="n">
        <v>0.9</v>
      </c>
      <c r="C9" s="7" t="s">
        <v>202</v>
      </c>
      <c r="D9" s="0" t="n">
        <v>6</v>
      </c>
      <c r="E9" s="28" t="n">
        <v>6</v>
      </c>
      <c r="F9" s="7" t="s">
        <v>203</v>
      </c>
    </row>
    <row r="10" customFormat="false" ht="15" hidden="false" customHeight="false" outlineLevel="0" collapsed="false">
      <c r="A10" s="4" t="s">
        <v>204</v>
      </c>
      <c r="B10" s="27" t="n">
        <v>0.7</v>
      </c>
      <c r="C10" s="7" t="s">
        <v>205</v>
      </c>
      <c r="D10" s="0" t="n">
        <v>8</v>
      </c>
      <c r="E10" s="28" t="n">
        <v>8</v>
      </c>
      <c r="F10" s="7" t="s">
        <v>206</v>
      </c>
    </row>
    <row r="11" customFormat="false" ht="15" hidden="false" customHeight="false" outlineLevel="0" collapsed="false">
      <c r="A11" s="4" t="s">
        <v>207</v>
      </c>
      <c r="B11" s="27" t="n">
        <v>0.3</v>
      </c>
      <c r="C11" s="7" t="s">
        <v>208</v>
      </c>
      <c r="D11" s="0" t="n">
        <v>2</v>
      </c>
      <c r="E11" s="28" t="n">
        <v>5</v>
      </c>
      <c r="F11" s="7" t="s">
        <v>209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2026-02-22T06:11:58Z</dcterms:created>
  <dc:creator>openpyxl</dc:creator>
  <dc:description/>
  <dc:language>en-US</dc:language>
  <cp:lastModifiedBy/>
  <dcterms:modified xsi:type="dcterms:W3CDTF">2026-02-22T06:11:58Z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