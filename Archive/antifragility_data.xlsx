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90678\Downloads\"/>
    </mc:Choice>
  </mc:AlternateContent>
  <xr:revisionPtr revIDLastSave="0" documentId="13_ncr:1_{4B0828A2-EBBD-42A6-8501-10E2DE6FD16E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DOMAINS" sheetId="1" r:id="rId1"/>
    <sheet name="AFFAIRS" sheetId="2" r:id="rId2"/>
    <sheet name="INTERESTS" sheetId="3" r:id="rId3"/>
    <sheet name="WAR_GAMING_LOG" sheetId="4" r:id="rId4"/>
    <sheet name="HEURISTICS" sheetId="5" r:id="rId5"/>
    <sheet name="VIRTUE_SPIRA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6" l="1"/>
  <c r="F4" i="6"/>
  <c r="F3" i="6"/>
  <c r="F2" i="6"/>
  <c r="A2" i="4"/>
  <c r="I5" i="3"/>
  <c r="I4" i="3"/>
  <c r="I3" i="3"/>
  <c r="I2" i="3"/>
  <c r="I7" i="2"/>
  <c r="D7" i="2"/>
  <c r="I6" i="2"/>
  <c r="D6" i="2"/>
  <c r="I5" i="2"/>
  <c r="D5" i="2"/>
  <c r="I4" i="2"/>
  <c r="D4" i="2"/>
  <c r="I3" i="2"/>
  <c r="D3" i="2"/>
  <c r="I2" i="2"/>
  <c r="D2" i="2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<sst xmlns="http://schemas.openxmlformats.org/spreadsheetml/2006/main" count="177" uniqueCount="141">
  <si>
    <t>domain_id</t>
  </si>
  <si>
    <t>name</t>
  </si>
  <si>
    <t>law</t>
  </si>
  <si>
    <t>volatility_source</t>
  </si>
  <si>
    <t>stakes</t>
  </si>
  <si>
    <t>risk</t>
  </si>
  <si>
    <t>fragility</t>
  </si>
  <si>
    <t>physics</t>
  </si>
  <si>
    <t>Physics</t>
  </si>
  <si>
    <t>Laws of Universe</t>
  </si>
  <si>
    <t>Grid collapse, CME, disasters</t>
  </si>
  <si>
    <t>biology</t>
  </si>
  <si>
    <t>Biology</t>
  </si>
  <si>
    <t>Laws of Nature</t>
  </si>
  <si>
    <t>Atrophy, disease, aging</t>
  </si>
  <si>
    <t>ecology</t>
  </si>
  <si>
    <t>Ecology</t>
  </si>
  <si>
    <t>Law of Jungle</t>
  </si>
  <si>
    <t>Dominance, predation, theft</t>
  </si>
  <si>
    <t>politics</t>
  </si>
  <si>
    <t>Politics</t>
  </si>
  <si>
    <t>Law of Land</t>
  </si>
  <si>
    <t>Violence, legislation, lawfare</t>
  </si>
  <si>
    <t>finance</t>
  </si>
  <si>
    <t>Finance</t>
  </si>
  <si>
    <t>Law of Time</t>
  </si>
  <si>
    <t>Debt, currency collapse, poverty</t>
  </si>
  <si>
    <t>nurture</t>
  </si>
  <si>
    <t>Nurture</t>
  </si>
  <si>
    <t>Laws of Culture</t>
  </si>
  <si>
    <t>Madness of crowds, cancel culture</t>
  </si>
  <si>
    <t>affair_id</t>
  </si>
  <si>
    <t>task</t>
  </si>
  <si>
    <t>priority_score</t>
  </si>
  <si>
    <t>status</t>
  </si>
  <si>
    <t>completion_%</t>
  </si>
  <si>
    <t>due_date</t>
  </si>
  <si>
    <t>notes</t>
  </si>
  <si>
    <t>A001</t>
  </si>
  <si>
    <t>Clear all debt</t>
  </si>
  <si>
    <t>IN PROGRESS</t>
  </si>
  <si>
    <t>Sold car, negotiating cards</t>
  </si>
  <si>
    <t>A002</t>
  </si>
  <si>
    <t>Build Faraday cage</t>
  </si>
  <si>
    <t>NOT STARTED</t>
  </si>
  <si>
    <t>Need copper mesh</t>
  </si>
  <si>
    <t>A003</t>
  </si>
  <si>
    <t>Set up offshore trust</t>
  </si>
  <si>
    <t>Researching Panama vs Singapore</t>
  </si>
  <si>
    <t>A004</t>
  </si>
  <si>
    <t>Start hormesis protocol</t>
  </si>
  <si>
    <t>Cold showers, fasting, HIIT</t>
  </si>
  <si>
    <t>A005</t>
  </si>
  <si>
    <t>Track competitor stakes</t>
  </si>
  <si>
    <t>Map skin in game</t>
  </si>
  <si>
    <t>A006</t>
  </si>
  <si>
    <t>Stock 2 years supplies</t>
  </si>
  <si>
    <t>Food, water, meds, fuel</t>
  </si>
  <si>
    <t>interest_id</t>
  </si>
  <si>
    <t>bet</t>
  </si>
  <si>
    <t>asymmetry</t>
  </si>
  <si>
    <t>upside</t>
  </si>
  <si>
    <t>downside</t>
  </si>
  <si>
    <t>convexity</t>
  </si>
  <si>
    <t>I001</t>
  </si>
  <si>
    <t>Bitcoin position (10%)</t>
  </si>
  <si>
    <t>Unlimited</t>
  </si>
  <si>
    <t>Max 10% portfolio</t>
  </si>
  <si>
    <t>Wait for dip</t>
  </si>
  <si>
    <t>I002</t>
  </si>
  <si>
    <t>Deep OTM calls on AI</t>
  </si>
  <si>
    <t>50-100x</t>
  </si>
  <si>
    <t>Premium only</t>
  </si>
  <si>
    <t>NVDA, MSFT</t>
  </si>
  <si>
    <t>I003</t>
  </si>
  <si>
    <t>Build X following</t>
  </si>
  <si>
    <t>Clients, deals, fame</t>
  </si>
  <si>
    <t>Time only</t>
  </si>
  <si>
    <t>Share convex ideas</t>
  </si>
  <si>
    <t>I004</t>
  </si>
  <si>
    <t>Master sales skill</t>
  </si>
  <si>
    <t>Uncapped income</t>
  </si>
  <si>
    <t>Learning time</t>
  </si>
  <si>
    <t>Lindy profession</t>
  </si>
  <si>
    <t>timestamp</t>
  </si>
  <si>
    <t>ends_defined</t>
  </si>
  <si>
    <t>means_defined</t>
  </si>
  <si>
    <t>state_of_affairs</t>
  </si>
  <si>
    <t>plans_preparation</t>
  </si>
  <si>
    <t>decision_notes</t>
  </si>
  <si>
    <t>[Enter domain_id]</t>
  </si>
  <si>
    <t>[Copy from "Ends" canvas]</t>
  </si>
  <si>
    <t>[Copy from "Means" canvas]</t>
  </si>
  <si>
    <t>[Copy from "State of Affairs" canvas]</t>
  </si>
  <si>
    <t>[Copy from "Plans &amp; Preparation" canvas]</t>
  </si>
  <si>
    <t>[Additional thoughts]</t>
  </si>
  <si>
    <t>heuristic_id</t>
  </si>
  <si>
    <t>description</t>
  </si>
  <si>
    <t>application</t>
  </si>
  <si>
    <t>domain</t>
  </si>
  <si>
    <t>H001</t>
  </si>
  <si>
    <t>Via Negativa</t>
  </si>
  <si>
    <t>Remove fragility first</t>
  </si>
  <si>
    <t>Stop doing stupid things before optimizing</t>
  </si>
  <si>
    <t>ALL</t>
  </si>
  <si>
    <t>H002</t>
  </si>
  <si>
    <t>Barbell Strategy</t>
  </si>
  <si>
    <t>90% ultra-safe + 10% ultra-risky</t>
  </si>
  <si>
    <t>No middle ground, only extremes</t>
  </si>
  <si>
    <t>H003</t>
  </si>
  <si>
    <t>Lindy Effect</t>
  </si>
  <si>
    <t>Prefer what has survived time</t>
  </si>
  <si>
    <t>Old &gt; new for core systems</t>
  </si>
  <si>
    <t>H004</t>
  </si>
  <si>
    <t>Skin in the Game</t>
  </si>
  <si>
    <t>Follow revealed preferences</t>
  </si>
  <si>
    <t>Watch money/time, not words</t>
  </si>
  <si>
    <t>H005</t>
  </si>
  <si>
    <t>Better Safe Than Sorry</t>
  </si>
  <si>
    <t>Over-prepare for tail risks</t>
  </si>
  <si>
    <t>Downside is unlimited</t>
  </si>
  <si>
    <t>H006</t>
  </si>
  <si>
    <t>Hormesis</t>
  </si>
  <si>
    <t>Small stressors strengthen</t>
  </si>
  <si>
    <t>Fasting, cold, exercise</t>
  </si>
  <si>
    <t>H007</t>
  </si>
  <si>
    <t>Fuck You Money</t>
  </si>
  <si>
    <t>Achieve financial independence</t>
  </si>
  <si>
    <t>Escape wage slavery first</t>
  </si>
  <si>
    <t>stage</t>
  </si>
  <si>
    <t>criteria</t>
  </si>
  <si>
    <t>current_progress</t>
  </si>
  <si>
    <t>target</t>
  </si>
  <si>
    <t>FRAGILE</t>
  </si>
  <si>
    <t>Identify vulnerabilities across all domains</t>
  </si>
  <si>
    <t>ROBUST</t>
  </si>
  <si>
    <t>Hedge all affairs, remove fragility</t>
  </si>
  <si>
    <t>ANTIFRAGILE</t>
  </si>
  <si>
    <t>Execute interests, gain from volatility</t>
  </si>
  <si>
    <t>CONVEX</t>
  </si>
  <si>
    <t>Compound wins, path-dependent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</si>
</sst>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\-mmm\-yy\ hh:mm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Courier New"/>
      <charset val="1"/>
    </font>
    <font>
      <sz val="9"/>
      <name val="Courier New"/>
      <charset val="1"/>
    </font>
    <font>
      <sz val="9"/>
      <color rgb="FF0000FF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/>
  </sheetViews>
  <sheetFormatPr defaultColWidth="8.6328125" defaultRowHeight="14.5" x14ac:dyDescent="0.35"/>
  <cols>
    <col min="1" max="2" width="12" customWidth="1"/>
    <col min="3" max="3" width="18" customWidth="1"/>
    <col min="4" max="4" width="40" customWidth="1"/>
    <col min="5" max="6" width="1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3">
        <v>9</v>
      </c>
      <c r="F2" s="3">
        <v>8</v>
      </c>
      <c r="G2" s="2">
        <f t="shared" ref="G2:G7" si="0">E2*F2</f>
        <v>72</v>
      </c>
    </row>
    <row r="3" spans="1:7" x14ac:dyDescent="0.35">
      <c r="A3" s="2" t="s">
        <v>11</v>
      </c>
      <c r="B3" s="2" t="s">
        <v>12</v>
      </c>
      <c r="C3" s="2" t="s">
        <v>13</v>
      </c>
      <c r="D3" s="2" t="s">
        <v>14</v>
      </c>
      <c r="E3" s="3">
        <v>7</v>
      </c>
      <c r="F3" s="3">
        <v>6</v>
      </c>
      <c r="G3" s="2">
        <f t="shared" si="0"/>
        <v>42</v>
      </c>
    </row>
    <row r="4" spans="1:7" x14ac:dyDescent="0.35">
      <c r="A4" s="2" t="s">
        <v>15</v>
      </c>
      <c r="B4" s="2" t="s">
        <v>16</v>
      </c>
      <c r="C4" s="2" t="s">
        <v>17</v>
      </c>
      <c r="D4" s="2" t="s">
        <v>18</v>
      </c>
      <c r="E4" s="3">
        <v>6</v>
      </c>
      <c r="F4" s="3">
        <v>5</v>
      </c>
      <c r="G4" s="2">
        <f t="shared" si="0"/>
        <v>30</v>
      </c>
    </row>
    <row r="5" spans="1:7" x14ac:dyDescent="0.35">
      <c r="A5" s="2" t="s">
        <v>19</v>
      </c>
      <c r="B5" s="2" t="s">
        <v>20</v>
      </c>
      <c r="C5" s="2" t="s">
        <v>21</v>
      </c>
      <c r="D5" s="2" t="s">
        <v>22</v>
      </c>
      <c r="E5" s="3">
        <v>8</v>
      </c>
      <c r="F5" s="3">
        <v>7</v>
      </c>
      <c r="G5" s="2">
        <f t="shared" si="0"/>
        <v>56</v>
      </c>
    </row>
    <row r="6" spans="1:7" x14ac:dyDescent="0.35">
      <c r="A6" s="2" t="s">
        <v>23</v>
      </c>
      <c r="B6" s="2" t="s">
        <v>24</v>
      </c>
      <c r="C6" s="2" t="s">
        <v>25</v>
      </c>
      <c r="D6" s="2" t="s">
        <v>26</v>
      </c>
      <c r="E6" s="3">
        <v>10</v>
      </c>
      <c r="F6" s="3">
        <v>8</v>
      </c>
      <c r="G6" s="2">
        <f t="shared" si="0"/>
        <v>80</v>
      </c>
    </row>
    <row r="7" spans="1:7" x14ac:dyDescent="0.35">
      <c r="A7" s="2" t="s">
        <v>27</v>
      </c>
      <c r="B7" s="2" t="s">
        <v>28</v>
      </c>
      <c r="C7" s="2" t="s">
        <v>29</v>
      </c>
      <c r="D7" s="2" t="s">
        <v>30</v>
      </c>
      <c r="E7" s="3">
        <v>5</v>
      </c>
      <c r="F7" s="3">
        <v>4</v>
      </c>
      <c r="G7" s="2">
        <f t="shared" si="0"/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Normal="100" workbookViewId="0"/>
  </sheetViews>
  <sheetFormatPr defaultColWidth="8.6328125" defaultRowHeight="14.5" x14ac:dyDescent="0.35"/>
  <cols>
    <col min="3" max="3" width="35" customWidth="1"/>
    <col min="10" max="10" width="35" customWidth="1"/>
  </cols>
  <sheetData>
    <row r="1" spans="1:10" x14ac:dyDescent="0.35">
      <c r="A1" s="1" t="s">
        <v>31</v>
      </c>
      <c r="B1" s="1" t="s">
        <v>0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ht="36" x14ac:dyDescent="0.35">
      <c r="A2" s="2" t="s">
        <v>38</v>
      </c>
      <c r="B2" s="2" t="s">
        <v>23</v>
      </c>
      <c r="C2" s="2" t="s">
        <v>39</v>
      </c>
      <c r="D2" s="2">
        <f t="shared" ref="D2:D7" si="0">E2*F2</f>
        <v>90</v>
      </c>
      <c r="E2" s="3">
        <v>10</v>
      </c>
      <c r="F2" s="3">
        <v>9</v>
      </c>
      <c r="G2" s="2" t="s">
        <v>40</v>
      </c>
      <c r="H2" s="4">
        <v>0.35</v>
      </c>
      <c r="I2" s="5">
        <f ca="1">TODAY()+7</f>
        <v>46085</v>
      </c>
      <c r="J2" s="2" t="s">
        <v>41</v>
      </c>
    </row>
    <row r="3" spans="1:10" ht="24" x14ac:dyDescent="0.35">
      <c r="A3" s="2" t="s">
        <v>42</v>
      </c>
      <c r="B3" s="2" t="s">
        <v>7</v>
      </c>
      <c r="C3" s="2" t="s">
        <v>43</v>
      </c>
      <c r="D3" s="2">
        <f t="shared" si="0"/>
        <v>72</v>
      </c>
      <c r="E3" s="3">
        <v>9</v>
      </c>
      <c r="F3" s="3">
        <v>8</v>
      </c>
      <c r="G3" s="2" t="s">
        <v>44</v>
      </c>
      <c r="H3" s="4">
        <v>0</v>
      </c>
      <c r="I3" s="5">
        <f ca="1">TODAY()+14</f>
        <v>46092</v>
      </c>
      <c r="J3" s="2" t="s">
        <v>45</v>
      </c>
    </row>
    <row r="4" spans="1:10" ht="24" x14ac:dyDescent="0.35">
      <c r="A4" s="2" t="s">
        <v>46</v>
      </c>
      <c r="B4" s="2" t="s">
        <v>19</v>
      </c>
      <c r="C4" s="2" t="s">
        <v>47</v>
      </c>
      <c r="D4" s="2">
        <f t="shared" si="0"/>
        <v>56</v>
      </c>
      <c r="E4" s="3">
        <v>8</v>
      </c>
      <c r="F4" s="3">
        <v>7</v>
      </c>
      <c r="G4" s="2" t="s">
        <v>44</v>
      </c>
      <c r="H4" s="4">
        <v>0</v>
      </c>
      <c r="I4" s="5">
        <f ca="1">TODAY()+30</f>
        <v>46108</v>
      </c>
      <c r="J4" s="2" t="s">
        <v>48</v>
      </c>
    </row>
    <row r="5" spans="1:10" ht="24" x14ac:dyDescent="0.35">
      <c r="A5" s="2" t="s">
        <v>49</v>
      </c>
      <c r="B5" s="2" t="s">
        <v>11</v>
      </c>
      <c r="C5" s="2" t="s">
        <v>50</v>
      </c>
      <c r="D5" s="2">
        <f t="shared" si="0"/>
        <v>42</v>
      </c>
      <c r="E5" s="3">
        <v>7</v>
      </c>
      <c r="F5" s="3">
        <v>6</v>
      </c>
      <c r="G5" s="2" t="s">
        <v>44</v>
      </c>
      <c r="H5" s="4">
        <v>0</v>
      </c>
      <c r="I5" s="5">
        <f ca="1">TODAY()+1</f>
        <v>46079</v>
      </c>
      <c r="J5" s="2" t="s">
        <v>51</v>
      </c>
    </row>
    <row r="6" spans="1:10" ht="24" x14ac:dyDescent="0.35">
      <c r="A6" s="2" t="s">
        <v>52</v>
      </c>
      <c r="B6" s="2" t="s">
        <v>15</v>
      </c>
      <c r="C6" s="2" t="s">
        <v>53</v>
      </c>
      <c r="D6" s="2">
        <f t="shared" si="0"/>
        <v>30</v>
      </c>
      <c r="E6" s="3">
        <v>6</v>
      </c>
      <c r="F6" s="3">
        <v>5</v>
      </c>
      <c r="G6" s="2" t="s">
        <v>44</v>
      </c>
      <c r="H6" s="4">
        <v>0</v>
      </c>
      <c r="I6" s="5">
        <f ca="1">TODAY()+10</f>
        <v>46088</v>
      </c>
      <c r="J6" s="2" t="s">
        <v>54</v>
      </c>
    </row>
    <row r="7" spans="1:10" ht="24" x14ac:dyDescent="0.35">
      <c r="A7" s="2" t="s">
        <v>55</v>
      </c>
      <c r="B7" s="2" t="s">
        <v>7</v>
      </c>
      <c r="C7" s="2" t="s">
        <v>56</v>
      </c>
      <c r="D7" s="2">
        <f t="shared" si="0"/>
        <v>63</v>
      </c>
      <c r="E7" s="3">
        <v>9</v>
      </c>
      <c r="F7" s="3">
        <v>7</v>
      </c>
      <c r="G7" s="2" t="s">
        <v>44</v>
      </c>
      <c r="H7" s="4">
        <v>0</v>
      </c>
      <c r="I7" s="5">
        <f ca="1">TODAY()+60</f>
        <v>46138</v>
      </c>
      <c r="J7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zoomScaleNormal="100" workbookViewId="0"/>
  </sheetViews>
  <sheetFormatPr defaultColWidth="8.6328125" defaultRowHeight="14.5" x14ac:dyDescent="0.35"/>
  <cols>
    <col min="3" max="3" width="30" customWidth="1"/>
    <col min="7" max="8" width="20" customWidth="1"/>
    <col min="11" max="11" width="30" customWidth="1"/>
  </cols>
  <sheetData>
    <row r="1" spans="1:11" x14ac:dyDescent="0.35">
      <c r="A1" s="1" t="s">
        <v>58</v>
      </c>
      <c r="B1" s="1" t="s">
        <v>0</v>
      </c>
      <c r="C1" s="1" t="s">
        <v>59</v>
      </c>
      <c r="D1" s="1" t="s">
        <v>4</v>
      </c>
      <c r="E1" s="1" t="s">
        <v>5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34</v>
      </c>
      <c r="K1" s="1" t="s">
        <v>37</v>
      </c>
    </row>
    <row r="2" spans="1:11" ht="24" x14ac:dyDescent="0.35">
      <c r="A2" s="2" t="s">
        <v>64</v>
      </c>
      <c r="B2" s="2" t="s">
        <v>23</v>
      </c>
      <c r="C2" s="2" t="s">
        <v>65</v>
      </c>
      <c r="D2" s="3">
        <v>3</v>
      </c>
      <c r="E2" s="3">
        <v>9</v>
      </c>
      <c r="F2" s="3">
        <v>5</v>
      </c>
      <c r="G2" s="2" t="s">
        <v>66</v>
      </c>
      <c r="H2" s="2" t="s">
        <v>67</v>
      </c>
      <c r="I2" s="2">
        <f>F2</f>
        <v>5</v>
      </c>
      <c r="J2" s="2" t="s">
        <v>44</v>
      </c>
      <c r="K2" s="2" t="s">
        <v>68</v>
      </c>
    </row>
    <row r="3" spans="1:11" ht="24" x14ac:dyDescent="0.35">
      <c r="A3" s="2" t="s">
        <v>69</v>
      </c>
      <c r="B3" s="2" t="s">
        <v>23</v>
      </c>
      <c r="C3" s="2" t="s">
        <v>70</v>
      </c>
      <c r="D3" s="3">
        <v>2</v>
      </c>
      <c r="E3" s="3">
        <v>10</v>
      </c>
      <c r="F3" s="3">
        <v>10</v>
      </c>
      <c r="G3" s="2" t="s">
        <v>71</v>
      </c>
      <c r="H3" s="2" t="s">
        <v>72</v>
      </c>
      <c r="I3" s="2">
        <f>F3</f>
        <v>10</v>
      </c>
      <c r="J3" s="2" t="s">
        <v>44</v>
      </c>
      <c r="K3" s="2" t="s">
        <v>73</v>
      </c>
    </row>
    <row r="4" spans="1:11" ht="24" x14ac:dyDescent="0.35">
      <c r="A4" s="2" t="s">
        <v>74</v>
      </c>
      <c r="B4" s="2" t="s">
        <v>27</v>
      </c>
      <c r="C4" s="2" t="s">
        <v>75</v>
      </c>
      <c r="D4" s="3">
        <v>4</v>
      </c>
      <c r="E4" s="3">
        <v>5</v>
      </c>
      <c r="F4" s="3">
        <v>3</v>
      </c>
      <c r="G4" s="2" t="s">
        <v>76</v>
      </c>
      <c r="H4" s="2" t="s">
        <v>77</v>
      </c>
      <c r="I4" s="2">
        <f>F4</f>
        <v>3</v>
      </c>
      <c r="J4" s="2" t="s">
        <v>44</v>
      </c>
      <c r="K4" s="2" t="s">
        <v>78</v>
      </c>
    </row>
    <row r="5" spans="1:11" ht="36" x14ac:dyDescent="0.35">
      <c r="A5" s="2" t="s">
        <v>79</v>
      </c>
      <c r="B5" s="2" t="s">
        <v>23</v>
      </c>
      <c r="C5" s="2" t="s">
        <v>80</v>
      </c>
      <c r="D5" s="3">
        <v>5</v>
      </c>
      <c r="E5" s="3">
        <v>4</v>
      </c>
      <c r="F5" s="3">
        <v>10</v>
      </c>
      <c r="G5" s="2" t="s">
        <v>81</v>
      </c>
      <c r="H5" s="2" t="s">
        <v>82</v>
      </c>
      <c r="I5" s="2">
        <f>F5</f>
        <v>10</v>
      </c>
      <c r="J5" s="2" t="s">
        <v>40</v>
      </c>
      <c r="K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zoomScaleNormal="100" workbookViewId="0"/>
  </sheetViews>
  <sheetFormatPr defaultColWidth="8.6328125" defaultRowHeight="14.5" x14ac:dyDescent="0.35"/>
  <cols>
    <col min="3" max="7" width="40" customWidth="1"/>
  </cols>
  <sheetData>
    <row r="1" spans="1:7" x14ac:dyDescent="0.3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ht="36" x14ac:dyDescent="0.35">
      <c r="A2" s="6">
        <f ca="1">NOW()</f>
        <v>46078.558365393517</v>
      </c>
      <c r="B2" s="2" t="s">
        <v>90</v>
      </c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Normal="100" workbookViewId="0"/>
  </sheetViews>
  <sheetFormatPr defaultColWidth="8.6328125" defaultRowHeight="14.5" x14ac:dyDescent="0.35"/>
  <cols>
    <col min="2" max="2" width="20" customWidth="1"/>
    <col min="3" max="3" width="30" customWidth="1"/>
    <col min="4" max="4" width="40" customWidth="1"/>
  </cols>
  <sheetData>
    <row r="1" spans="1:5" x14ac:dyDescent="0.35">
      <c r="A1" s="1" t="s">
        <v>96</v>
      </c>
      <c r="B1" s="1" t="s">
        <v>1</v>
      </c>
      <c r="C1" s="1" t="s">
        <v>97</v>
      </c>
      <c r="D1" s="1" t="s">
        <v>98</v>
      </c>
      <c r="E1" s="1" t="s">
        <v>99</v>
      </c>
    </row>
    <row r="2" spans="1:5" ht="24" x14ac:dyDescent="0.35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</row>
    <row r="3" spans="1:5" ht="24" x14ac:dyDescent="0.35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104</v>
      </c>
    </row>
    <row r="4" spans="1:5" ht="24" x14ac:dyDescent="0.35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104</v>
      </c>
    </row>
    <row r="5" spans="1:5" x14ac:dyDescent="0.35">
      <c r="A5" s="2" t="s">
        <v>113</v>
      </c>
      <c r="B5" s="2" t="s">
        <v>114</v>
      </c>
      <c r="C5" s="2" t="s">
        <v>115</v>
      </c>
      <c r="D5" s="2" t="s">
        <v>116</v>
      </c>
      <c r="E5" s="2" t="s">
        <v>15</v>
      </c>
    </row>
    <row r="6" spans="1:5" ht="24" x14ac:dyDescent="0.35">
      <c r="A6" s="2" t="s">
        <v>117</v>
      </c>
      <c r="B6" s="2" t="s">
        <v>118</v>
      </c>
      <c r="C6" s="2" t="s">
        <v>119</v>
      </c>
      <c r="D6" s="2" t="s">
        <v>120</v>
      </c>
      <c r="E6" s="2" t="s">
        <v>7</v>
      </c>
    </row>
    <row r="7" spans="1:5" x14ac:dyDescent="0.35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11</v>
      </c>
    </row>
    <row r="8" spans="1:5" ht="24" x14ac:dyDescent="0.35">
      <c r="A8" s="2" t="s">
        <v>125</v>
      </c>
      <c r="B8" s="2" t="s">
        <v>126</v>
      </c>
      <c r="C8" s="2" t="s">
        <v>127</v>
      </c>
      <c r="D8" s="2" t="s">
        <v>128</v>
      </c>
      <c r="E8" s="2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zoomScaleNormal="100" workbookViewId="0"/>
  </sheetViews>
  <sheetFormatPr defaultColWidth="8.6328125" defaultRowHeight="14.5" x14ac:dyDescent="0.35"/>
  <cols>
    <col min="3" max="3" width="50" customWidth="1"/>
  </cols>
  <sheetData>
    <row r="1" spans="1:6" x14ac:dyDescent="0.35">
      <c r="A1" s="1" t="s">
        <v>129</v>
      </c>
      <c r="B1" s="1" t="s">
        <v>1</v>
      </c>
      <c r="C1" s="1" t="s">
        <v>130</v>
      </c>
      <c r="D1" s="1" t="s">
        <v>131</v>
      </c>
      <c r="E1" s="1" t="s">
        <v>132</v>
      </c>
      <c r="F1" s="1" t="s">
        <v>35</v>
      </c>
    </row>
    <row r="2" spans="1:6" x14ac:dyDescent="0.35">
      <c r="A2" s="2">
        <v>1</v>
      </c>
      <c r="B2" s="2" t="s">
        <v>133</v>
      </c>
      <c r="C2" s="2" t="s">
        <v>134</v>
      </c>
      <c r="D2" s="3">
        <v>6</v>
      </c>
      <c r="E2" s="2">
        <v>6</v>
      </c>
      <c r="F2" s="4">
        <f>D2/E2</f>
        <v>1</v>
      </c>
    </row>
    <row r="3" spans="1:6" x14ac:dyDescent="0.35">
      <c r="A3" s="2">
        <v>2</v>
      </c>
      <c r="B3" s="2" t="s">
        <v>135</v>
      </c>
      <c r="C3" s="2" t="s">
        <v>136</v>
      </c>
      <c r="D3" s="3">
        <v>4</v>
      </c>
      <c r="E3" s="2">
        <v>6</v>
      </c>
      <c r="F3" s="4">
        <f>D3/E3</f>
        <v>0.66666666666666663</v>
      </c>
    </row>
    <row r="4" spans="1:6" ht="24" x14ac:dyDescent="0.35">
      <c r="A4" s="2">
        <v>3</v>
      </c>
      <c r="B4" s="2" t="s">
        <v>137</v>
      </c>
      <c r="C4" s="2" t="s">
        <v>138</v>
      </c>
      <c r="D4" s="3">
        <v>2</v>
      </c>
      <c r="E4" s="2">
        <v>10</v>
      </c>
      <c r="F4" s="4">
        <f>D4/E4</f>
        <v>0.2</v>
      </c>
    </row>
    <row r="5" spans="1:6" x14ac:dyDescent="0.35">
      <c r="A5" s="2">
        <v>4</v>
      </c>
      <c r="B5" s="2" t="s">
        <v>139</v>
      </c>
      <c r="C5" s="2" t="s">
        <v>140</v>
      </c>
      <c r="D5" s="3">
        <v>1</v>
      </c>
      <c r="E5" s="2">
        <v>5</v>
      </c>
      <c r="F5" s="4">
        <f>D5/E5</f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DOMAINS</vt:lpstr>
      <vt:lpstr>AFFAIRS</vt:lpstr>
      <vt:lpstr>INTERESTS</vt:lpstr>
      <vt:lpstr>WAR_GAMING_LOG</vt:lpstr>
      <vt:lpstr>HEURISTICS</vt:lpstr>
      <vt:lpstr>VIRTUE_SPIRAL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Harish Nalendala Gopinath(UST,IN)</cp:lastModifiedBy>
  <cp:revision>0</cp:revision>
  <dcterms:created xsi:type="dcterms:W3CDTF">2026-02-16T13:30:06Z</dcterms:created>
  <dcterms:modified xsi:type="dcterms:W3CDTF">2026-02-25T07:54:08Z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1190-2d31-4c92-b354-5182a5f7c128_Enabled">
    <vt:lpwstr>true</vt:lpwstr>
  </property>
  <property fmtid="{D5CDD505-2E9C-101B-9397-08002B2CF9AE}" pid="3" name="MSIP_Label_a4611190-2d31-4c92-b354-5182a5f7c128_SetDate">
    <vt:lpwstr>2026-02-25T07:54:05Z</vt:lpwstr>
  </property>
  <property fmtid="{D5CDD505-2E9C-101B-9397-08002B2CF9AE}" pid="4" name="MSIP_Label_a4611190-2d31-4c92-b354-5182a5f7c128_Method">
    <vt:lpwstr>Privileged</vt:lpwstr>
  </property>
  <property fmtid="{D5CDD505-2E9C-101B-9397-08002B2CF9AE}" pid="5" name="MSIP_Label_a4611190-2d31-4c92-b354-5182a5f7c128_Name">
    <vt:lpwstr>a4611190-2d31-4c92-b354-5182a5f7c128</vt:lpwstr>
  </property>
  <property fmtid="{D5CDD505-2E9C-101B-9397-08002B2CF9AE}" pid="6" name="MSIP_Label_a4611190-2d31-4c92-b354-5182a5f7c128_SiteId">
    <vt:lpwstr>a4431f4b-c207-4733-9530-34c08a9b2b8d</vt:lpwstr>
  </property>
  <property fmtid="{D5CDD505-2E9C-101B-9397-08002B2CF9AE}" pid="7" name="MSIP_Label_a4611190-2d31-4c92-b354-5182a5f7c128_ActionId">
    <vt:lpwstr>f01a0342-2ef0-4021-9e32-7be4b5a5f417</vt:lpwstr>
  </property>
  <property fmtid="{D5CDD505-2E9C-101B-9397-08002B2CF9AE}" pid="8" name="MSIP_Label_a4611190-2d31-4c92-b354-5182a5f7c128_ContentBits">
    <vt:lpwstr>0</vt:lpwstr>
  </property>
  <property fmtid="{D5CDD505-2E9C-101B-9397-08002B2CF9AE}" pid="9" name="MSIP_Label_a4611190-2d31-4c92-b354-5182a5f7c128_Tag">
    <vt:lpwstr>10, 0, 1, 1</vt:lpwstr>
  </property>
</Properties>
</file>