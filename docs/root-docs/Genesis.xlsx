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290678\Desktop\Khal\"/>
    </mc:Choice>
  </mc:AlternateContent>
  <xr:revisionPtr revIDLastSave="0" documentId="13_ncr:1_{E97FE3BA-D7C7-4321-9A55-91EDF97B3C74}" xr6:coauthVersionLast="47" xr6:coauthVersionMax="47" xr10:uidLastSave="{00000000-0000-0000-0000-000000000000}"/>
  <bookViews>
    <workbookView xWindow="-110" yWindow="-110" windowWidth="19420" windowHeight="12220" tabRatio="500" activeTab="2" xr2:uid="{00000000-000D-0000-FFFF-FFFF00000000}"/>
  </bookViews>
  <sheets>
    <sheet name="README" sheetId="1" r:id="rId1"/>
    <sheet name="MISSION COMMAND" sheetId="2" r:id="rId2"/>
    <sheet name="War Room" sheetId="3" r:id="rId3"/>
    <sheet name="The Mission" sheetId="4" r:id="rId4"/>
    <sheet name="War Gaming" sheetId="5" r:id="rId5"/>
    <sheet name="Surgical Execution" sheetId="6" r:id="rId6"/>
    <sheet name="Dashboard" sheetId="7" r:id="rId7"/>
    <sheet name="Affairs " sheetId="8" r:id="rId8"/>
    <sheet name="Intrest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9" l="1"/>
  <c r="D19" i="9"/>
  <c r="D18" i="9"/>
  <c r="D17" i="9"/>
  <c r="D16" i="9"/>
  <c r="D15" i="9"/>
  <c r="D14" i="9"/>
  <c r="H10" i="9"/>
  <c r="H9" i="9"/>
  <c r="H8" i="9"/>
  <c r="H7" i="9"/>
  <c r="H6" i="9"/>
  <c r="H5" i="9"/>
  <c r="H4" i="9"/>
  <c r="H3" i="9"/>
  <c r="D19" i="8"/>
  <c r="D18" i="8"/>
  <c r="D17" i="8"/>
  <c r="D16" i="8"/>
  <c r="D15" i="8"/>
  <c r="D14" i="8"/>
  <c r="D13" i="8"/>
  <c r="D12" i="8"/>
  <c r="F8" i="8"/>
  <c r="F7" i="8"/>
  <c r="F6" i="8"/>
  <c r="F5" i="8"/>
  <c r="F4" i="8"/>
  <c r="F3" i="8"/>
  <c r="E34" i="6"/>
  <c r="D34" i="6"/>
  <c r="E33" i="6"/>
  <c r="D33" i="6"/>
  <c r="E32" i="6"/>
  <c r="D32" i="6"/>
  <c r="E31" i="6"/>
  <c r="D31" i="6"/>
  <c r="E27" i="6"/>
  <c r="E26" i="6"/>
  <c r="E25" i="6"/>
  <c r="E24" i="6"/>
  <c r="E23" i="6"/>
  <c r="E22" i="6"/>
  <c r="E21" i="6"/>
  <c r="E20" i="6"/>
  <c r="K16" i="6"/>
  <c r="H16" i="6"/>
  <c r="K15" i="6"/>
  <c r="H15" i="6"/>
  <c r="K14" i="6"/>
  <c r="H14" i="6"/>
  <c r="K13" i="6"/>
  <c r="H13" i="6"/>
  <c r="K12" i="6"/>
  <c r="H12" i="6"/>
  <c r="K11" i="6"/>
  <c r="H11" i="6"/>
  <c r="K10" i="6"/>
  <c r="H10" i="6"/>
  <c r="K9" i="6"/>
  <c r="H9" i="6"/>
  <c r="K8" i="6"/>
  <c r="H8" i="6"/>
  <c r="K7" i="6"/>
  <c r="H7" i="6"/>
  <c r="E22" i="5"/>
  <c r="E21" i="5"/>
  <c r="E20" i="5"/>
  <c r="E19" i="5"/>
  <c r="E18" i="5"/>
  <c r="E17" i="5"/>
  <c r="E16" i="5"/>
  <c r="C48" i="2"/>
  <c r="E48" i="2" s="1"/>
  <c r="C47" i="2"/>
  <c r="E47" i="2" s="1"/>
  <c r="E46" i="2"/>
  <c r="C46" i="2"/>
  <c r="C45" i="2"/>
  <c r="E45" i="2" s="1"/>
  <c r="C44" i="2"/>
  <c r="E44" i="2" s="1"/>
  <c r="C43" i="2"/>
  <c r="E43" i="2" s="1"/>
  <c r="I39" i="2"/>
  <c r="G39" i="2"/>
  <c r="I38" i="2"/>
  <c r="G38" i="2"/>
  <c r="I37" i="2"/>
  <c r="G37" i="2"/>
  <c r="I36" i="2"/>
  <c r="G36" i="2"/>
  <c r="I35" i="2"/>
  <c r="G35" i="2"/>
  <c r="I34" i="2"/>
  <c r="G34" i="2"/>
  <c r="I33" i="2"/>
  <c r="G33" i="2"/>
  <c r="D29" i="2"/>
  <c r="E29" i="2" s="1"/>
  <c r="D28" i="2"/>
  <c r="E28" i="2" s="1"/>
  <c r="D27" i="2"/>
  <c r="E27" i="2" s="1"/>
  <c r="C26" i="2"/>
  <c r="D26" i="2" s="1"/>
  <c r="E26" i="2" s="1"/>
  <c r="D22" i="2"/>
  <c r="E22" i="2" s="1"/>
  <c r="E21" i="2"/>
  <c r="D21" i="2"/>
  <c r="D20" i="2"/>
  <c r="E20" i="2" s="1"/>
  <c r="D19" i="2"/>
  <c r="E19" i="2" s="1"/>
  <c r="D18" i="2"/>
  <c r="E18" i="2" s="1"/>
  <c r="D17" i="2"/>
  <c r="E17" i="2" s="1"/>
  <c r="E13" i="2"/>
  <c r="D13" i="2"/>
  <c r="E12" i="2"/>
  <c r="D12" i="2"/>
  <c r="C11" i="2"/>
  <c r="E11" i="2" s="1"/>
  <c r="C10" i="2"/>
  <c r="D10" i="2" s="1"/>
  <c r="F6" i="2"/>
  <c r="D6" i="2"/>
  <c r="B6" i="2"/>
  <c r="F5" i="2"/>
  <c r="B5" i="2"/>
  <c r="F4" i="2"/>
  <c r="B4" i="2"/>
  <c r="E10" i="2" l="1"/>
  <c r="D11" i="2"/>
</calcChain>
</file>

<file path=xl/sharedStrings.xml><?xml version="1.0" encoding="utf-8"?>
<sst xmlns="http://schemas.openxmlformats.org/spreadsheetml/2006/main" count="691" uniqueCount="459">
  <si>
    <t>GENESIS - ANTIFRAGILITY OPERATING SYSTEM</t>
  </si>
  <si>
    <t>MISSION: Become antifragile by deploying time strategically across 4 core systems</t>
  </si>
  <si>
    <t>PHILOSOPHY:</t>
  </si>
  <si>
    <t>• Time = Life = Your most precious resource
• Antifragility = Beyond robustness (gains from volatility)
• Barbell Strategy = 90% defense (Affairs) + 10% offense (Interests)
• Convexity = Asymmetric upside (limited downside, unlimited upside)
• Virtue Spiral = Compound path-dependent wins
• Jensen's Inequality = Prefer convex payoffs in uncertain domains</t>
  </si>
  <si>
    <t>THE 4 CORE SYSTEMS:</t>
  </si>
  <si>
    <t>1. WAR ROOM</t>
  </si>
  <si>
    <t>Your strategic framework - 6 domains of volatility (Physics, Biology, Ecology, Politics, Finance, Nurture). Reference sheet for understanding fragility sources.</t>
  </si>
  <si>
    <t>2. WAR GAMING</t>
  </si>
  <si>
    <t>Scenario planning &amp; preparation. Pre-mortems for Black Swan events. Build convex heuristics. Stock resources. Plan for tail risks.</t>
  </si>
  <si>
    <t>3. SURGICAL EXECUTION</t>
  </si>
  <si>
    <t>Task kill chain. Execute with precision. Track time deployment. Complete subtasks. Move from Fragile → Robust → Antifragile.</t>
  </si>
  <si>
    <t>4. MISSION COMMAND</t>
  </si>
  <si>
    <t>Your daily command center. Real-time dashboard. Barbell metrics. Fragility heatmap. Priority actions. Time budget tracking.</t>
  </si>
  <si>
    <t>HOW TO USE THIS SYSTEM:</t>
  </si>
  <si>
    <t>DAILY</t>
  </si>
  <si>
    <t>Open MISSION COMMAND → Check HUD time → Review Kill Chain → Complete top 3 priority actions → Update task status</t>
  </si>
  <si>
    <t>WEEKLY</t>
  </si>
  <si>
    <t>Review Barbell balance (90/10?) → Update Affairs completion % → Check Interests progress → Adjust time allocation → Add new tasks</t>
  </si>
  <si>
    <t>MONTHLY</t>
  </si>
  <si>
    <t>Run War Gaming scenarios → Update preparation inventory → Recalculate fragility scores → Assess Virtue Spiral progress → Rebalance</t>
  </si>
  <si>
    <t>COLOR CODING</t>
  </si>
  <si>
    <t>BLUE text = Your inputs (stakes, time, targets). BLACK text = Formulas. GREEN = Internal links. RED = Critical alerts.</t>
  </si>
  <si>
    <t>KEY METRICS TO TRACK:</t>
  </si>
  <si>
    <t>Life Progress</t>
  </si>
  <si>
    <t>Age / Life Expectancy (higher = less time remaining)</t>
  </si>
  <si>
    <t>Fragility Score</t>
  </si>
  <si>
    <t>Vulnerability × Stakes × Risk (lower = better)</t>
  </si>
  <si>
    <t>Barbell Balance</t>
  </si>
  <si>
    <t>Affairs % vs Interests % (target: 90/10)</t>
  </si>
  <si>
    <t>Convexity Score</t>
  </si>
  <si>
    <t>Upside / Downside ratio (higher = more antifragile)</t>
  </si>
  <si>
    <t>Virtue Spiral</t>
  </si>
  <si>
    <t>% progress through stages (target: 100%)</t>
  </si>
  <si>
    <t>Priority Score</t>
  </si>
  <si>
    <t>Stakes × Risk × Asymmetry (higher = do first)</t>
  </si>
  <si>
    <t>THE PATH TO ANTIFRAGILITY:</t>
  </si>
  <si>
    <t>STAGE 1: FRAGILE</t>
  </si>
  <si>
    <t>Identify all vulnerabilities across 6 domains. Map exposure. Recognize tail risks.</t>
  </si>
  <si>
    <t>STAGE 2: ROBUST</t>
  </si>
  <si>
    <t>Hedge all Affairs (defense). Remove fragility. Build redundancy. Prepare for worst case.</t>
  </si>
  <si>
    <t>STAGE 3: ANTIFRAGILE</t>
  </si>
  <si>
    <t>Execute Interests (offense). Take asymmetric bets. Gain from volatility. 10% portfolio.</t>
  </si>
  <si>
    <t>STAGE 4: CONVEX</t>
  </si>
  <si>
    <t>Compound wins. Scale what works. Path-dependent growth. Virtue spiral acceleration.</t>
  </si>
  <si>
    <t>GUIDING PRINCIPLES:</t>
  </si>
  <si>
    <t>1. Via Negativa: Remove fragility BEFORE optimizing
2. Lindy Effect: Prefer what has survived time
3. Skin in the Game: Follow revealed preferences (money/time), not words
4. Better Safe Than Sorry: Over-prepare for tail risks
5. Barbell Everything: Extreme safety + extreme risk (no middle)
6. Convex Heuristics: Prefer limited downside, unlimited upside
7. Time = Life: Every hour is irreplaceable - deploy wisely
8. Antimimetic: Avoid madness of crowds, find contrarian truth
9. Hormesis: Small stressors strengthen, big shocks kill
10. Ergodicity: What matters is YOUR path, not averages</t>
  </si>
  <si>
    <t>MISSION COMMAND - ANTIFRAGILITY OPERATING SYSTEM</t>
  </si>
  <si>
    <t>═══════════════════════════════════════════════════════════════════════════</t>
  </si>
  <si>
    <t>HUD - TIME DEPLOYMENT TRACKER</t>
  </si>
  <si>
    <t>Current Date/Time</t>
  </si>
  <si>
    <t>Age (Years)</t>
  </si>
  <si>
    <t>Time on Earth</t>
  </si>
  <si>
    <t>Birth Date</t>
  </si>
  <si>
    <t>Life Expectancy</t>
  </si>
  <si>
    <t>Time Remaining</t>
  </si>
  <si>
    <t>Days Lived</t>
  </si>
  <si>
    <t>Days Remaining</t>
  </si>
  <si>
    <t>BARBELL STRATEGY - 90/10 DEFENSE/OFFENSE</t>
  </si>
  <si>
    <t>Metric</t>
  </si>
  <si>
    <t>Target</t>
  </si>
  <si>
    <t>Current</t>
  </si>
  <si>
    <t>Status</t>
  </si>
  <si>
    <t>Gap</t>
  </si>
  <si>
    <t>Affairs (Defense) %</t>
  </si>
  <si>
    <t>Interests (Offense) %</t>
  </si>
  <si>
    <t>Tail Risk Coverage</t>
  </si>
  <si>
    <t>FRAGILITY HEATMAP - EXPOSURE BY DOMAIN</t>
  </si>
  <si>
    <t>Domain</t>
  </si>
  <si>
    <t>Vulnerability</t>
  </si>
  <si>
    <t>Stakes (1-10)</t>
  </si>
  <si>
    <t>Top Priority Action</t>
  </si>
  <si>
    <t>Physics</t>
  </si>
  <si>
    <t>Grid collapse, CME</t>
  </si>
  <si>
    <t>Faraday cage + supplies</t>
  </si>
  <si>
    <t>Biology</t>
  </si>
  <si>
    <t>Atrophy, entropy</t>
  </si>
  <si>
    <t>Hormesis protocol daily</t>
  </si>
  <si>
    <t>Ecology</t>
  </si>
  <si>
    <t>Hierarchy dominance</t>
  </si>
  <si>
    <t>Track stakes/risks</t>
  </si>
  <si>
    <t>Politics</t>
  </si>
  <si>
    <t>Legislation, violence</t>
  </si>
  <si>
    <t>Asset segregation</t>
  </si>
  <si>
    <t>Finance</t>
  </si>
  <si>
    <t>Debt, fiat collapse</t>
  </si>
  <si>
    <t>Clear debt, buy gold</t>
  </si>
  <si>
    <t>Nurture</t>
  </si>
  <si>
    <t>Madness of crowds</t>
  </si>
  <si>
    <t>Follow revealed pref</t>
  </si>
  <si>
    <t>VIRTUE SPIRAL - PROGRESS TO ANTIFRAGILITY</t>
  </si>
  <si>
    <t>Stage</t>
  </si>
  <si>
    <t>Progress</t>
  </si>
  <si>
    <t>% Complete</t>
  </si>
  <si>
    <t>1. FRAGILE → Identify Vulnerabilities</t>
  </si>
  <si>
    <t>2. ROBUST → Hedge All Affairs</t>
  </si>
  <si>
    <t>3. ANTIFRAGILE → Execute Interests</t>
  </si>
  <si>
    <t>4. CONVEX → Compound Wins</t>
  </si>
  <si>
    <t>KILL CHAIN - NEXT 7 PRIORITY ACTIONS (Sorted by Convexity)</t>
  </si>
  <si>
    <t>#</t>
  </si>
  <si>
    <t>Action</t>
  </si>
  <si>
    <t>Type</t>
  </si>
  <si>
    <t>Stakes</t>
  </si>
  <si>
    <t>Risk</t>
  </si>
  <si>
    <t>Est. Time (hrs)</t>
  </si>
  <si>
    <t>Due Date</t>
  </si>
  <si>
    <t>Clear all debt</t>
  </si>
  <si>
    <t>AFFAIR</t>
  </si>
  <si>
    <t>IN PROGRESS</t>
  </si>
  <si>
    <t>Build Faraday cage</t>
  </si>
  <si>
    <t>NOT STARTED</t>
  </si>
  <si>
    <t>Set up offshore trust</t>
  </si>
  <si>
    <t>Start hormesis protocol</t>
  </si>
  <si>
    <t>10% asymmetric bet (Bitcoin)</t>
  </si>
  <si>
    <t>INTEREST</t>
  </si>
  <si>
    <t>Build social proof campaign</t>
  </si>
  <si>
    <t>Document competitor stakes</t>
  </si>
  <si>
    <t>WEEKLY TIME DEPLOYMENT (168 Hours Total)</t>
  </si>
  <si>
    <t>Category</t>
  </si>
  <si>
    <t>Allocated (hrs)</t>
  </si>
  <si>
    <t>% of Week</t>
  </si>
  <si>
    <t>Target %</t>
  </si>
  <si>
    <t>Variance</t>
  </si>
  <si>
    <t>Sleep (Recovery)</t>
  </si>
  <si>
    <t>Affairs (Defense)</t>
  </si>
  <si>
    <t>Interests (Offense)</t>
  </si>
  <si>
    <t>War Gaming (Planning)</t>
  </si>
  <si>
    <t>Learning/Training</t>
  </si>
  <si>
    <t>Waste (Minimize)</t>
  </si>
  <si>
    <t>WarRoom</t>
  </si>
  <si>
    <t>STATE OF THE ART</t>
  </si>
  <si>
    <t>State of Affairs</t>
  </si>
  <si>
    <t>The Map Navigation framework for complexity</t>
  </si>
  <si>
    <t>Philosophers Stone Transformation and mastery across all layers</t>
  </si>
  <si>
    <t>Science: Arts &amp; Crafts</t>
  </si>
  <si>
    <t>Asymmetry: Skin in the Game</t>
  </si>
  <si>
    <t>Non Linearity: Robustness</t>
  </si>
  <si>
    <t>Intrests</t>
  </si>
  <si>
    <t>Affairs</t>
  </si>
  <si>
    <t>Volatility</t>
  </si>
  <si>
    <t>Risks</t>
  </si>
  <si>
    <t>Fragility(Short Volatility)</t>
  </si>
  <si>
    <t>Vulnerabilities</t>
  </si>
  <si>
    <t>Ends: Barbell Strategy</t>
  </si>
  <si>
    <t>Means
(Convex Heuristics of methods, tactics)</t>
  </si>
  <si>
    <t>Laws of the Universe</t>
  </si>
  <si>
    <t>Complexity</t>
  </si>
  <si>
    <t>Time, Death, Soul</t>
  </si>
  <si>
    <t>Asymmetry &amp; Non Linearity</t>
  </si>
  <si>
    <t>Propotionality &amp; Dimentionality</t>
  </si>
  <si>
    <t>• Complexity
• Causal Opacity: Computional 
• Volatility
• Tail Risk</t>
  </si>
  <si>
    <t>Hedge: Cap DownsideTail Risk High Stakes, Low Risk, Dynamically hedge Tailrisks , move towards Robustness, by preparing for all these affairs.</t>
  </si>
  <si>
    <t>Edge: Uncap Upside Low Stakes, High Risk, +ve Asymmetri Bets, Dynamically risk Tail Risks, with low stakes, Endge, is the 10% speculative offensive, thesse are your intrests, you plan</t>
  </si>
  <si>
    <t>Laws of Physics</t>
  </si>
  <si>
    <t>Civisilizational Death</t>
  </si>
  <si>
    <t>1. Earth's Disaster Cycle -&gt; Grid Collapse-&gt; Apocalyptic WorldEarth's disaster cycle, solar flares, micronovas, magnetic pole shifts</t>
  </si>
  <si>
    <t>Subject to laws of physics; technological dependency (grids/satellites); biological vulnerabilityCMEs, geomagnetic storms, grid vulnerability</t>
  </si>
  <si>
    <t>Modernity (interconnected grids); grid-dependent transformers; high-latitude auroral overload</t>
  </si>
  <si>
    <t>Survive the cycle's tails; 90% in safe assets/insulation</t>
  </si>
  <si>
    <t>, 10% on post-collapse emergence/speculative bets</t>
  </si>
  <si>
    <t>Faraday cages; resonant frequency; Lindy skills; "Better safe than sorry"; via negativa pruning</t>
  </si>
  <si>
    <t>Laws of Nature</t>
  </si>
  <si>
    <t>Life; biological health; youth</t>
  </si>
  <si>
    <t>Degeneration; entropy of the body; atrophyAtrophy and de-growth</t>
  </si>
  <si>
    <t>Subject to entropy; de-growthEntropy, aging, physical degradation</t>
  </si>
  <si>
    <t>Lack of hormetic stress; physical decay</t>
  </si>
  <si>
    <t>Hedge: Atrophy, no Cronicity, no Injury remover anything leading to death.</t>
  </si>
  <si>
    <t>Hedge atrophy; enable hormesis</t>
  </si>
  <si>
    <t>Hormetic growth; focus on winning, not arguments</t>
  </si>
  <si>
    <t>Law of Jungle</t>
  </si>
  <si>
    <t>Life and time; survival in a cold world</t>
  </si>
  <si>
    <t>Dominance hierarchy; food chain; Moloch; predation; loss of agency; resource theft Dominance hierarchy, food chain, Moloch</t>
  </si>
  <si>
    <t>Unprotected assets; lack of force/enforcementCompetition, predation, power dynamics</t>
  </si>
  <si>
    <t>Being at the bottom of the hierarchy; lack of skin in the game</t>
  </si>
  <si>
    <t>Positive asymmetry; find the barbell in the food chain/dominance hierarchy</t>
  </si>
  <si>
    <t>Skin in the game; follow revealed preferences, not empty words; enforce rights with force</t>
  </si>
  <si>
    <t>Law of the Land</t>
  </si>
  <si>
    <t>Life or death; bloodsport; freedom</t>
  </si>
  <si>
    <t>Violence; legislation; litigation; modernity; persecution; systemic collapse, Orwelling World, the End gola of all gov is Communism, if you don’t write the laws they are notin your favour.Violence, legislation, litigation, modernity</t>
  </si>
  <si>
    <t>Subject to violence/litigation; game is rigged if legislation is not self-determined; modernity/globalizationState power, legal systems, globalization</t>
  </si>
  <si>
    <t>Subject to legislation; parliament; bureaucrats; judges</t>
  </si>
  <si>
    <t>Hedge: Law-abiding on paper/off-grid. Offense: Author laws; decide regulations, reguin, rull and make laws, till then be above it.</t>
  </si>
  <si>
    <t>Be lawful on paper until making laws; remain insulated; buy loyalty with gold/silver</t>
  </si>
  <si>
    <t>Statecraft</t>
  </si>
  <si>
    <t>Law of Time</t>
  </si>
  <si>
    <t>Finance &amp; Economics</t>
  </si>
  <si>
    <t>Life, time, energy, and soul; financial freedom</t>
  </si>
  <si>
    <t>Financial order; economic entropy; slavery (working for money); fiat evaporation; povertyFinancial order, economic entropy</t>
  </si>
  <si>
    <t>Selling time; debt; working for money instead of making money work for you, Currency debasement, market cycles</t>
  </si>
  <si>
    <t>Global chaos; political incompetence; grid failure (digital assets)</t>
  </si>
  <si>
    <t>Defense: 90% safe assets (physical gold/silver).Heuristics	Risk management principles	Apply intuitive decision rules
Fuck you Money	Get to the Rich get Richer Group	Achieve financial independence to escape forced labor
Financial Freedom	No More Working for money, Buy Back your time	Buy time, don't sell it; master technical skills</t>
  </si>
  <si>
    <t xml:space="preserve"> Offense: 10% highly speculative/asymmetric bets</t>
  </si>
  <si>
    <t>"Fuck you" money; master a technical skill; enter Lindy professions; buy time, do not sell it: Get to the Rich Get richer Gropup, enter the Golabl transnation pools of money trying otmake more money, tail the whale</t>
  </si>
  <si>
    <t>Tradecraft: Sales, Distribution, Products, Services,Raydaliyo model, Politics + Legal Order Monopoly, Branding</t>
  </si>
  <si>
    <t>Laws of Nurture</t>
  </si>
  <si>
    <t>Fame, glory, and popularity; life and time</t>
  </si>
  <si>
    <t>Culture; rhetoric; dialectic; consensus; crucifixion (unvindicated fame); madness of crowdsCulture, rhetoric, dialectic, consensus</t>
  </si>
  <si>
    <t>Winning arguments without skin in the game; unvindicated fame,Public opinion, social trends, memetics, mimemti rivalry, mimetic contagion, scapegoating</t>
  </si>
  <si>
    <t>Subject to public opinion/madness of crowds; epigenetic regulators</t>
  </si>
  <si>
    <t>Defense: Popularity (Wisdom of Crowds/Lindy). Offense: Vindication/Fame (Dialectic bets)</t>
  </si>
  <si>
    <t>Peacocking; put money where your mouth is; use rhetoric as diplomacy; follow Lindy wisdom</t>
  </si>
  <si>
    <t>Stagecraft: Rethoric - dialectic barbells.</t>
  </si>
  <si>
    <t>l</t>
  </si>
  <si>
    <t xml:space="preserve">The mission is what makes a clear structure of what ends are needed, they can be thresholds, aim, ect, it arragnges all 
Affairs a&amp; intrests dynamically to understand what  the right  cource of action is, can be taks, Thresholds, objecte ect, the oal is to organie all of it in a singel hirarchy dynamically at all times.
The mission is not about going some where, or somethn the mission take care of everything , the mission is about your current state, it is refusing to be where you are , being paranoid, disgusted by all vulnerabilities, and fragility hedge and defend, and prepare against it, the tail risk, and move towards robustness, adn take asymmetry to move beyond robustness.
the mission makes everything clear. </t>
  </si>
  <si>
    <t>WAR GAMING - SCENARIO PLANNING &amp; PREPARATION</t>
  </si>
  <si>
    <t>Purpose: Plan for Black Swan events. Pre-mortems for each domain. Build convex heuristics.</t>
  </si>
  <si>
    <t>TAIL RISK SCENARIOS - WHAT COULD GO WRONG?</t>
  </si>
  <si>
    <t>Scenario</t>
  </si>
  <si>
    <t>Probability</t>
  </si>
  <si>
    <t>Impact (1-10)</t>
  </si>
  <si>
    <t>Your Exposure</t>
  </si>
  <si>
    <t>Preparation Checklist</t>
  </si>
  <si>
    <t>Solar CME / Grid collapse</t>
  </si>
  <si>
    <t>10% per decade</t>
  </si>
  <si>
    <t>HIGH - grid dependent</t>
  </si>
  <si>
    <t>Faraday cage, off-grid power, 2yr supplies, bunker</t>
  </si>
  <si>
    <t>Pandemic / bioweapon</t>
  </si>
  <si>
    <t>5% per decade</t>
  </si>
  <si>
    <t>MEDIUM - urban living</t>
  </si>
  <si>
    <t>N95 masks, antibiotics, quarantine plan, rural retreat</t>
  </si>
  <si>
    <t>Economic predation / theft</t>
  </si>
  <si>
    <t>30% per year</t>
  </si>
  <si>
    <t>HIGH - visible wealth</t>
  </si>
  <si>
    <t>Hidden assets, security, force capability, low profile</t>
  </si>
  <si>
    <t>Asset seizure / lawfare</t>
  </si>
  <si>
    <t>15% per year</t>
  </si>
  <si>
    <t>MEDIUM - traceable assets</t>
  </si>
  <si>
    <t>Offshore trusts, multiple passports, legal counsel</t>
  </si>
  <si>
    <t>Currency collapse / hyperinflation</t>
  </si>
  <si>
    <t>20% per decade</t>
  </si>
  <si>
    <t>HIGH - fiat savings</t>
  </si>
  <si>
    <t>Physical gold/silver, Bitcoin, hard assets, skills</t>
  </si>
  <si>
    <t>Cancel culture / reputation attack</t>
  </si>
  <si>
    <t>25% per year</t>
  </si>
  <si>
    <t>MEDIUM - public profile</t>
  </si>
  <si>
    <t>Anonymous accounts, clean record, social proof</t>
  </si>
  <si>
    <t>PREPARATION INVENTORY - MEANS &amp; RESOURCES</t>
  </si>
  <si>
    <t>Item</t>
  </si>
  <si>
    <t>Quantity Needed</t>
  </si>
  <si>
    <t>Current Stock</t>
  </si>
  <si>
    <t>Priority</t>
  </si>
  <si>
    <t>Budget</t>
  </si>
  <si>
    <t>Faraday cages</t>
  </si>
  <si>
    <t>2 units</t>
  </si>
  <si>
    <t>0</t>
  </si>
  <si>
    <t>HIGH</t>
  </si>
  <si>
    <t>$500</t>
  </si>
  <si>
    <t>Freeze-dried food (days)</t>
  </si>
  <si>
    <t>730</t>
  </si>
  <si>
    <t>$3000</t>
  </si>
  <si>
    <t>N95 masks</t>
  </si>
  <si>
    <t>100</t>
  </si>
  <si>
    <t>20</t>
  </si>
  <si>
    <t>MEDIUM</t>
  </si>
  <si>
    <t>$50</t>
  </si>
  <si>
    <t>Physical gold (oz)</t>
  </si>
  <si>
    <t>50</t>
  </si>
  <si>
    <t>5</t>
  </si>
  <si>
    <t>CRITICAL</t>
  </si>
  <si>
    <t>$100k</t>
  </si>
  <si>
    <t>Physical silver (oz)</t>
  </si>
  <si>
    <t>500</t>
  </si>
  <si>
    <t>$15k</t>
  </si>
  <si>
    <t>Offshore accounts</t>
  </si>
  <si>
    <t>2</t>
  </si>
  <si>
    <t>$5k</t>
  </si>
  <si>
    <t>Security equipment</t>
  </si>
  <si>
    <t>1 system</t>
  </si>
  <si>
    <t>$2k</t>
  </si>
  <si>
    <t>CONVEX HEURISTICS - DECISION RULES FOR BLACK SWAN DOMAINS</t>
  </si>
  <si>
    <t>Heuristic</t>
  </si>
  <si>
    <t>Explanation</t>
  </si>
  <si>
    <t>All</t>
  </si>
  <si>
    <t>Via Negativa</t>
  </si>
  <si>
    <t>Remove fragility first (stop doing stupid things before optimizing)</t>
  </si>
  <si>
    <t>Barbell Strategy</t>
  </si>
  <si>
    <t>90% ultra-safe + 10% ultra-aggressive (no middle ground)</t>
  </si>
  <si>
    <t>Lindy Effect</t>
  </si>
  <si>
    <t>Prefer what has survived time (old &gt; new for core systems)</t>
  </si>
  <si>
    <t>Better safe than sorry</t>
  </si>
  <si>
    <t>Over-prepare for grid collapse (downside unlimited)</t>
  </si>
  <si>
    <t>Hormesis</t>
  </si>
  <si>
    <t>Small stressors strengthen (fasting, cold, exercise)</t>
  </si>
  <si>
    <t>Skin in the Game</t>
  </si>
  <si>
    <t>Follow revealed preferences (watch money/time, not words)</t>
  </si>
  <si>
    <t>Insulation</t>
  </si>
  <si>
    <t>Be lawful on paper, ungovernable in practice</t>
  </si>
  <si>
    <t>Fuck You Money</t>
  </si>
  <si>
    <t>Get to rich-get-richer group (escape wage slavery first)</t>
  </si>
  <si>
    <t>Antimimetic</t>
  </si>
  <si>
    <t>Avoid crowds (wisdom of crowds ≠ madness of crowds)</t>
  </si>
  <si>
    <t>SURGICAL EXECUTION - TASK KILL CHAIN</t>
  </si>
  <si>
    <t>Purpose: Execute with precision. Track tasks, subtasks, time deployment. Complete the mission.</t>
  </si>
  <si>
    <t>MAIN TASK BOARD - SORTED BY PRIORITY SCORE</t>
  </si>
  <si>
    <t>ID</t>
  </si>
  <si>
    <t>Task</t>
  </si>
  <si>
    <t>Asymmetry</t>
  </si>
  <si>
    <t>Actual Time</t>
  </si>
  <si>
    <t>Completion %</t>
  </si>
  <si>
    <t>Notes</t>
  </si>
  <si>
    <t>T001</t>
  </si>
  <si>
    <t>Sold car, negotiating credit cards</t>
  </si>
  <si>
    <t>T002</t>
  </si>
  <si>
    <t>Need copper mesh + grounding</t>
  </si>
  <si>
    <t>T003</t>
  </si>
  <si>
    <t>Researching Panama vs Singapore</t>
  </si>
  <si>
    <t>T004</t>
  </si>
  <si>
    <t>Cold showers, fasting, HIIT</t>
  </si>
  <si>
    <t>T005</t>
  </si>
  <si>
    <t>Buy Bitcoin (10% portfolio)</t>
  </si>
  <si>
    <t>Wait for dip below $90k</t>
  </si>
  <si>
    <t>T006</t>
  </si>
  <si>
    <t>Build social proof</t>
  </si>
  <si>
    <t>X account, case studies</t>
  </si>
  <si>
    <t>T007</t>
  </si>
  <si>
    <t>Track competitor stakes</t>
  </si>
  <si>
    <t>Map their skin in game</t>
  </si>
  <si>
    <t>T008</t>
  </si>
  <si>
    <t>Stock 2 years supplies</t>
  </si>
  <si>
    <t>Food, water, meds, fuel</t>
  </si>
  <si>
    <t>T009</t>
  </si>
  <si>
    <t>Master sales skill</t>
  </si>
  <si>
    <t>Read Sandler, practice daily</t>
  </si>
  <si>
    <t>T010</t>
  </si>
  <si>
    <t>Buy physical gold</t>
  </si>
  <si>
    <t>Local dealer, no records</t>
  </si>
  <si>
    <t>SUBTASK BREAKDOWN - TASK DEPENDENCIES</t>
  </si>
  <si>
    <t>Parent Task</t>
  </si>
  <si>
    <t>Subtask</t>
  </si>
  <si>
    <t>Owner</t>
  </si>
  <si>
    <t>Time (hrs)</t>
  </si>
  <si>
    <t>Due</t>
  </si>
  <si>
    <t>Blocker?</t>
  </si>
  <si>
    <t>T001: Clear debt</t>
  </si>
  <si>
    <t>1.1 List all debts</t>
  </si>
  <si>
    <t>Self</t>
  </si>
  <si>
    <t>DONE</t>
  </si>
  <si>
    <t>1.2 Sell car</t>
  </si>
  <si>
    <t>1.3 Negotiate credit cards</t>
  </si>
  <si>
    <t>Wait for car sale</t>
  </si>
  <si>
    <t>1.4 Pay off in full</t>
  </si>
  <si>
    <t>T002: Faraday cage</t>
  </si>
  <si>
    <t>2.1 Research designs</t>
  </si>
  <si>
    <t>2.2 Buy materials</t>
  </si>
  <si>
    <t>2.3 Build cage</t>
  </si>
  <si>
    <t>2.4 Test with phone</t>
  </si>
  <si>
    <t>TIME TRACKING - ACTUAL vs ESTIMATED</t>
  </si>
  <si>
    <t>Week</t>
  </si>
  <si>
    <t>Planned (hrs)</t>
  </si>
  <si>
    <t>Actual (hrs)</t>
  </si>
  <si>
    <t>Efficiency %</t>
  </si>
  <si>
    <t>Week 1 (Current)</t>
  </si>
  <si>
    <t>Week 2</t>
  </si>
  <si>
    <t>Week 3</t>
  </si>
  <si>
    <t>Week 4</t>
  </si>
  <si>
    <t>[[Dashboard]]</t>
  </si>
  <si>
    <t>Time/date/location</t>
  </si>
  <si>
    <t>Age…</t>
  </si>
  <si>
    <t>[[Section 1]]----------------------------------------------</t>
  </si>
  <si>
    <t>[[WarRoom]]</t>
  </si>
  <si>
    <t> [[Wargaming]]    </t>
  </si>
  <si>
    <t xml:space="preserve">  [[Surgical Execution]]</t>
  </si>
  <si>
    <t>Aggirgiate Section[[Section 2]]----------------------------------------------</t>
  </si>
  <si>
    <t>B4</t>
  </si>
  <si>
    <t>State of the Art</t>
  </si>
  <si>
    <t>Fragility</t>
  </si>
  <si>
    <t>Vulnarability</t>
  </si>
  <si>
    <t>Situational Awarness</t>
  </si>
  <si>
    <t>Kill Chain - Taks, for intrests &amp; affairs, schedule and complet it</t>
  </si>
  <si>
    <t xml:space="preserve">Mission </t>
  </si>
  <si>
    <t>HUD</t>
  </si>
  <si>
    <t xml:space="preserve">
-------------------------------------------------------------------------------------------------------------------------------------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</si>
  <si>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War gaming</t>
  </si>
  <si>
    <t>plan</t>
  </si>
  <si>
    <t>prep</t>
  </si>
  <si>
    <t>Logistics, supplies,infrastructres, schedules, budgets.</t>
  </si>
  <si>
    <t xml:space="preserve">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</si>
  <si>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 xml:space="preserve"> The Dashboard
	- humans Model all sort of Naive Bs, But no one models, Fragility, Vulnerability, Volatility, and Build Barbells, and convex heurists,
	- This is the Barbell of 
		- Situational Awareness -- Reading the Room
		- State of the Art -- State of Affairs:  the goal is to get barbell and heurist to be convex in the state of affairs.
	- The Model1:  Draft 1: Situational Analysis
		- Sources of Volatility: 
			- What are the source of Volatility one is subjected to, then Cut Fragility 
			- Map Convexity &amp; COnacavity, the non - linearity &amp; Asymmetries of the world, look for Minority rules emerging, that what htis is about what are the emerging trends, of the world and how it affects me.
		- Skin in the game analys
			- figue out how you can track skin in the game, of everyone.
		- Means - end
			- figue out what the ends are the means in terms of barlel stratiges and convex heuristss,
		- 
		- Domain
			- Understand what domain you are in if you are in a Black swan domain lean on Barbells &amp; Convex Heursits, lean into nature, Lindy wisdom, &amp; Skeptical Empiricism
		- Fragility Analysis
			- This is where you asse all your Exposures, and Cut the Down Side.
			- Look at Fragility at Very Layer you are associated, To life&gt;nature&gt;humanity&gt;Natio&gt;Civilisation&gt;State&gt;Community&gt;Networks state&gt;Private network&gt;cult&gt;friends&gt;family self.
		- Hedegign
			- focus on Tail risk Hedeging
		- Defecne
			- focus of defend what you have.
		- Robustness Analysis
			- All thins must be robustified, with convex heursits and barbells.
		- Fragilista Tracker
			- It must map and track people with no skin in the game making decisions with no skin in the Game, privatizing Gains &amp; socializing Lose, creating systemic Fragility, it must enable Convexity, opnality and removing fragility/
			-  [[Fragilista]]
				- The beginning of a [[Fragilista]], is taking [[Stated Preference]], as gospel truth &amp; you know what reality is.
				- follow people on how to stake their Death, Time(in modern world, deeds= time+ energy), and you will never be surprised
				- Gullabale people with no SITG realy entirel on the Exoteric
		- Stake Analysis
			- track people Stakes, on earth, look at yours and other players, stake what are they stakingit for, that is there true preference reaveled preference, dontlisten to empty words
		- Risk Analysis
			- Track what people are riskin, this is the true bet analys what are people will kin to risk for it
	- the Model 2: Draft 1: Read the Room
		- Look for Prefernce falciaical, didden under thExoter, shame, emabesement, ect the true Esoteric preference the revela with Death &amp; Money(Time &amp; Eenergy)
		- Look for Contrarin truths hiding behind the Wisdom of Crowds and Madness of Crowds, that is reaing the Room what is the wisdom of crowds and madness of crowds.
		- Most peopl are all bark and no bite.
		- they dont say what they mean and mean what they say
	- Model 3: State of the Art
		- the goal of the state of the art it to give you barbel stratigeis an dheuristc to deal with the complex world, surve it.
	- The Model4: Barbell Stack
		- Virtue Spiral
			- this is the SPrial that wil patha &amp; scal depent enablig the ultimate Long VOlatility
			- - Dynamic Barbells
			- Stake - Risk Barbell- Barbell 1: Stake - Risk barbell
			- Death - Time Barbell
			- Dialectics - Rhetoric Barbe
			- Popularity - Fame Barbell
			- Nature - Nurture Barbell
			- Domestication - Elimination Barbell
			- Universal - Historic Barbell
			- Tech - Media Barbell
			- Exoteric - Exoteric  Barbell
	- Model 5: Craft Barbell</t>
  </si>
  <si>
    <t>AFFAIRS - CURRENT ACTIONS BY LAYER</t>
  </si>
  <si>
    <t>Layer</t>
  </si>
  <si>
    <t>Priority Actions</t>
  </si>
  <si>
    <t>Timeline</t>
  </si>
  <si>
    <t>Risk (1-10)</t>
  </si>
  <si>
    <t>Build Faraday cages; research bunkers/escape locations; stock 2-5 years of supplies; monitor space weather daily</t>
  </si>
  <si>
    <t>Immediate - Ongoing</t>
  </si>
  <si>
    <t>Shield self against atrophy; over-train; maintain posture, skin, and hair; optimize walking, sleeping, and eating</t>
  </si>
  <si>
    <t>Daily - Weekly</t>
  </si>
  <si>
    <t>Track people's stakes and risks; position for dominance; defend assets</t>
  </si>
  <si>
    <t>Ongoing</t>
  </si>
  <si>
    <t>Asset segregation in trusts; secure multiple grids/passports; maintain readiness for lawsuits</t>
  </si>
  <si>
    <t>3-12 months</t>
  </si>
  <si>
    <t>Clear debts; buy assets that appreciate with volatility; keep money offshore/anonymous; maintain physical gold caches</t>
  </si>
  <si>
    <t>Immediate - 6 months</t>
  </si>
  <si>
    <t>Bet against fragilistas; reveal truths through action; use social signals for pre-selection; build leads/social proof</t>
  </si>
  <si>
    <t>TASK TRACKING - SUBTASKS</t>
  </si>
  <si>
    <t>Parent Affair</t>
  </si>
  <si>
    <t>Physics: Faraday cage</t>
  </si>
  <si>
    <t>Research designs</t>
  </si>
  <si>
    <t>Buy copper mesh</t>
  </si>
  <si>
    <t>Build &amp; test</t>
  </si>
  <si>
    <t>Nature: Hormesis</t>
  </si>
  <si>
    <t>Start cold showers</t>
  </si>
  <si>
    <t>Begin IF protocol</t>
  </si>
  <si>
    <t>Finance: Clear debt</t>
  </si>
  <si>
    <t>Sell car</t>
  </si>
  <si>
    <t>Negotiate cards</t>
  </si>
  <si>
    <t>Politics: Asset seg</t>
  </si>
  <si>
    <t>Research jurisdictions</t>
  </si>
  <si>
    <t>INTERESTS - OFFENSIVE ASYMMETRIC BETS (10% Portfolio)</t>
  </si>
  <si>
    <t>Opportunity</t>
  </si>
  <si>
    <t>Upside</t>
  </si>
  <si>
    <t>Downside</t>
  </si>
  <si>
    <t>Convexity</t>
  </si>
  <si>
    <t>Bitcoin position (10%)</t>
  </si>
  <si>
    <t>Unlimited</t>
  </si>
  <si>
    <t>Max 10% portfolio</t>
  </si>
  <si>
    <t>Wait for dip</t>
  </si>
  <si>
    <t>Deep OTM calls on AI</t>
  </si>
  <si>
    <t>50-100x</t>
  </si>
  <si>
    <t>Premium only</t>
  </si>
  <si>
    <t>NVDA, MSFT</t>
  </si>
  <si>
    <t>Build X following</t>
  </si>
  <si>
    <t>Clients, deals, fame</t>
  </si>
  <si>
    <t>Time only</t>
  </si>
  <si>
    <t>Share convex ideas</t>
  </si>
  <si>
    <t>Angel invest startups</t>
  </si>
  <si>
    <t>100x exits</t>
  </si>
  <si>
    <t>Capital only</t>
  </si>
  <si>
    <t>5% of 10% = 0.5%</t>
  </si>
  <si>
    <t>Lobby for laws</t>
  </si>
  <si>
    <t>Regulatory capture</t>
  </si>
  <si>
    <t>Lobbying cost</t>
  </si>
  <si>
    <t>Long-term play</t>
  </si>
  <si>
    <t>Nature</t>
  </si>
  <si>
    <t>Learn salsa dancing</t>
  </si>
  <si>
    <t>Pre-selection++</t>
  </si>
  <si>
    <t>Embarrassment</t>
  </si>
  <si>
    <t>Peacocking</t>
  </si>
  <si>
    <t>Uncapped income</t>
  </si>
  <si>
    <t>Learning time</t>
  </si>
  <si>
    <t>Lindy profession</t>
  </si>
  <si>
    <t>Write dialectic essays</t>
  </si>
  <si>
    <t>Vindication, fame</t>
  </si>
  <si>
    <t>Crucifixion risk</t>
  </si>
  <si>
    <t>Skin in game</t>
  </si>
  <si>
    <t>TASK TRACKING - INTEREST EXECUTION</t>
  </si>
  <si>
    <t>Parent Interest</t>
  </si>
  <si>
    <t>Bitcoin position</t>
  </si>
  <si>
    <t>Research wallets</t>
  </si>
  <si>
    <t>Set up cold storage</t>
  </si>
  <si>
    <t>Buy on dip</t>
  </si>
  <si>
    <t>WAITING</t>
  </si>
  <si>
    <t>X following</t>
  </si>
  <si>
    <t>Create account</t>
  </si>
  <si>
    <t>Post daily threads</t>
  </si>
  <si>
    <t>Sales skill</t>
  </si>
  <si>
    <t>Read Sandler book</t>
  </si>
  <si>
    <t>Practice cold calls</t>
  </si>
  <si>
    <t>Heuristics: in compe domw you don oper with determi frma work,a dn mode but heurit tha are good for 90% of the time, all techniq, metod ect must be redcued to heurists to win</t>
  </si>
  <si>
    <t>Mastercraft: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</si>
</sst>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hh:mm"/>
    <numFmt numFmtId="165" formatCode="dd\-mmm\-yyyy"/>
    <numFmt numFmtId="166" formatCode="0.0%"/>
    <numFmt numFmtId="167" formatCode="dd\-mmm\-yy"/>
    <numFmt numFmtId="168" formatCode="mm/dd/yy"/>
  </numFmts>
  <fonts count="23" x14ac:knownFonts="1">
    <font>
      <sz val="11"/>
      <color theme="1"/>
      <name val="Calibri"/>
      <family val="2"/>
      <charset val="1"/>
    </font>
    <font>
      <b/>
      <sz val="11"/>
      <color rgb="FFFFFFFF"/>
      <name val="Arial"/>
      <charset val="1"/>
    </font>
    <font>
      <b/>
      <sz val="12"/>
      <name val="Arial"/>
      <charset val="1"/>
    </font>
    <font>
      <b/>
      <sz val="10"/>
      <name val="Arial"/>
      <charset val="1"/>
    </font>
    <font>
      <sz val="10"/>
      <name val="Arial"/>
      <charset val="1"/>
    </font>
    <font>
      <sz val="8"/>
      <name val="Arial"/>
      <charset val="1"/>
    </font>
    <font>
      <sz val="11"/>
      <color rgb="FF0000FF"/>
      <name val="Cambria"/>
      <charset val="1"/>
    </font>
    <font>
      <b/>
      <sz val="18"/>
      <color theme="1"/>
      <name val="Calibri"/>
      <family val="2"/>
      <charset val="1"/>
    </font>
    <font>
      <sz val="11"/>
      <color theme="2"/>
      <name val="Calibri"/>
      <family val="2"/>
      <charset val="1"/>
    </font>
    <font>
      <b/>
      <sz val="16"/>
      <color theme="0"/>
      <name val="Calibri"/>
      <family val="2"/>
      <charset val="1"/>
    </font>
    <font>
      <b/>
      <sz val="16"/>
      <color theme="2"/>
      <name val="Calibri"/>
      <family val="2"/>
      <charset val="1"/>
    </font>
    <font>
      <b/>
      <sz val="16"/>
      <color theme="1"/>
      <name val="Calibri"/>
      <family val="2"/>
      <charset val="1"/>
    </font>
    <font>
      <sz val="14"/>
      <color theme="1"/>
      <name val="Calibri"/>
      <family val="2"/>
      <charset val="1"/>
    </font>
    <font>
      <b/>
      <sz val="12"/>
      <name val="Calibri"/>
      <family val="2"/>
      <charset val="1"/>
    </font>
    <font>
      <sz val="12"/>
      <name val="Calibri"/>
      <family val="2"/>
      <charset val="1"/>
    </font>
    <font>
      <b/>
      <sz val="11"/>
      <color rgb="FFFFFFFF"/>
      <name val="Calibri"/>
      <family val="2"/>
      <charset val="1"/>
    </font>
    <font>
      <b/>
      <sz val="11"/>
      <color rgb="FFFFFFFF"/>
      <name val="Calibri"/>
      <charset val="1"/>
    </font>
    <font>
      <b/>
      <sz val="11"/>
      <name val="Calibri"/>
      <charset val="1"/>
    </font>
    <font>
      <b/>
      <sz val="11"/>
      <name val="Calibri"/>
      <family val="2"/>
      <charset val="1"/>
    </font>
    <font>
      <i/>
      <sz val="11"/>
      <name val="Cambria"/>
      <charset val="1"/>
    </font>
    <font>
      <sz val="12"/>
      <color theme="1"/>
      <name val="Calibri"/>
      <family val="2"/>
      <charset val="1"/>
    </font>
    <font>
      <sz val="12"/>
      <color theme="1"/>
      <name val="Consolas"/>
      <family val="3"/>
      <charset val="1"/>
    </font>
    <font>
      <b/>
      <sz val="14"/>
      <name val="Calibri"/>
      <charset val="1"/>
    </font>
  </fonts>
  <fills count="12">
    <fill>
      <patternFill patternType="none"/>
    </fill>
    <fill>
      <patternFill patternType="gray125"/>
    </fill>
    <fill>
      <patternFill patternType="solid">
        <fgColor rgb="FF000000"/>
        <bgColor rgb="FF003300"/>
      </patternFill>
    </fill>
    <fill>
      <patternFill patternType="solid">
        <fgColor rgb="FF1F4E78"/>
        <bgColor rgb="FF2F4F4F"/>
      </patternFill>
    </fill>
    <fill>
      <patternFill patternType="solid">
        <fgColor rgb="FF8B0000"/>
        <bgColor rgb="FF800000"/>
      </patternFill>
    </fill>
    <fill>
      <patternFill patternType="solid">
        <fgColor rgb="FF4A4A4A"/>
        <bgColor rgb="FF2F4F4F"/>
      </patternFill>
    </fill>
    <fill>
      <patternFill patternType="solid">
        <fgColor rgb="FF2F4F4F"/>
        <bgColor rgb="FF4A4A4A"/>
      </patternFill>
    </fill>
    <fill>
      <patternFill patternType="solid">
        <fgColor rgb="FF006400"/>
        <bgColor rgb="FF003300"/>
      </patternFill>
    </fill>
    <fill>
      <patternFill patternType="solid">
        <fgColor rgb="FFFFC000"/>
        <bgColor rgb="FFFF9900"/>
      </patternFill>
    </fill>
    <fill>
      <patternFill patternType="solid">
        <fgColor rgb="FFFFFF00"/>
        <bgColor rgb="FFFFFF00"/>
      </patternFill>
    </fill>
    <fill>
      <patternFill patternType="solid">
        <fgColor rgb="FF4472C4"/>
        <bgColor rgb="FF4F81BD"/>
      </patternFill>
    </fill>
    <fill>
      <patternFill patternType="solid">
        <fgColor rgb="FFD9E1F2"/>
        <bgColor rgb="FFD9D9D9"/>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s>
  <cellStyleXfs count="1">
    <xf numFmtId="0" fontId="0" fillId="0" borderId="0"/>
  </cellStyleXfs>
  <cellXfs count="55">
    <xf numFmtId="0" fontId="0" fillId="0" borderId="0" xfId="0"/>
    <xf numFmtId="0" fontId="3" fillId="0" borderId="0" xfId="0" applyFont="1" applyAlignment="1">
      <alignment horizontal="left"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left" vertical="top" wrapText="1"/>
    </xf>
    <xf numFmtId="165" fontId="4" fillId="0" borderId="1" xfId="0" applyNumberFormat="1" applyFont="1" applyBorder="1" applyAlignment="1">
      <alignment horizontal="left" vertical="top" wrapText="1"/>
    </xf>
    <xf numFmtId="166" fontId="4" fillId="0" borderId="1" xfId="0" applyNumberFormat="1" applyFont="1" applyBorder="1" applyAlignment="1">
      <alignment horizontal="left" vertical="top" wrapText="1"/>
    </xf>
    <xf numFmtId="0" fontId="1" fillId="5" borderId="1" xfId="0" applyFont="1" applyFill="1" applyBorder="1" applyAlignment="1">
      <alignment horizontal="center" vertical="center" wrapText="1"/>
    </xf>
    <xf numFmtId="0" fontId="6" fillId="0" borderId="1" xfId="0" applyFont="1" applyBorder="1" applyAlignment="1">
      <alignment horizontal="left" vertical="top" wrapText="1"/>
    </xf>
    <xf numFmtId="9" fontId="4" fillId="0" borderId="1" xfId="0" applyNumberFormat="1" applyFont="1" applyBorder="1" applyAlignment="1">
      <alignment horizontal="left" vertical="top" wrapText="1"/>
    </xf>
    <xf numFmtId="167" fontId="4" fillId="0" borderId="1" xfId="0" applyNumberFormat="1" applyFont="1" applyBorder="1" applyAlignment="1">
      <alignment horizontal="left" vertical="top" wrapText="1"/>
    </xf>
    <xf numFmtId="0" fontId="8" fillId="2" borderId="0" xfId="0" applyFont="1" applyFill="1"/>
    <xf numFmtId="0" fontId="10" fillId="2" borderId="0" xfId="0" applyFont="1" applyFill="1"/>
    <xf numFmtId="0" fontId="11" fillId="2" borderId="0" xfId="0" applyFont="1" applyFill="1"/>
    <xf numFmtId="0" fontId="9" fillId="2" borderId="0" xfId="0" applyFont="1" applyFill="1"/>
    <xf numFmtId="0" fontId="0" fillId="8" borderId="0" xfId="0" applyFill="1"/>
    <xf numFmtId="0" fontId="13" fillId="9" borderId="2" xfId="0" applyFont="1" applyFill="1" applyBorder="1" applyAlignment="1">
      <alignment horizontal="center" vertical="center" wrapText="1"/>
    </xf>
    <xf numFmtId="0" fontId="13" fillId="9" borderId="2" xfId="0" applyFont="1" applyFill="1" applyBorder="1" applyAlignment="1">
      <alignment vertical="center" wrapText="1"/>
    </xf>
    <xf numFmtId="0" fontId="14" fillId="9" borderId="0" xfId="0" applyFont="1" applyFill="1"/>
    <xf numFmtId="0" fontId="15"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11" borderId="1" xfId="0" applyFont="1" applyFill="1" applyBorder="1" applyAlignment="1">
      <alignment horizontal="left" vertical="top" wrapText="1"/>
    </xf>
    <xf numFmtId="0" fontId="18" fillId="11" borderId="1" xfId="0" applyFont="1" applyFill="1" applyBorder="1" applyAlignment="1">
      <alignment horizontal="left" vertical="top" wrapText="1"/>
    </xf>
    <xf numFmtId="0" fontId="17" fillId="0" borderId="1" xfId="0" applyFont="1"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wrapText="1"/>
    </xf>
    <xf numFmtId="0" fontId="0" fillId="0" borderId="0" xfId="0" applyAlignment="1">
      <alignment vertical="top"/>
    </xf>
    <xf numFmtId="0" fontId="20" fillId="0" borderId="0" xfId="0" applyFont="1"/>
    <xf numFmtId="0" fontId="21" fillId="0" borderId="0" xfId="0" applyFont="1" applyAlignment="1">
      <alignment vertical="center"/>
    </xf>
    <xf numFmtId="0" fontId="20" fillId="0" borderId="0" xfId="0" applyFont="1" applyAlignment="1">
      <alignment wrapText="1"/>
    </xf>
    <xf numFmtId="9" fontId="0" fillId="0" borderId="0" xfId="0" applyNumberFormat="1"/>
    <xf numFmtId="0" fontId="6" fillId="0" borderId="0" xfId="0" applyFont="1"/>
    <xf numFmtId="168" fontId="4" fillId="0" borderId="1" xfId="0" applyNumberFormat="1" applyFont="1" applyBorder="1" applyAlignment="1">
      <alignment horizontal="left" vertical="top" wrapText="1"/>
    </xf>
    <xf numFmtId="0" fontId="4" fillId="0" borderId="0" xfId="0" applyFont="1"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1" fillId="7"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0" borderId="0" xfId="0" applyFont="1"/>
    <xf numFmtId="0" fontId="1" fillId="6" borderId="1" xfId="0" applyFont="1" applyFill="1" applyBorder="1" applyAlignment="1">
      <alignment horizontal="center" vertical="center" wrapText="1"/>
    </xf>
    <xf numFmtId="0" fontId="13" fillId="9" borderId="2" xfId="0" applyFont="1" applyFill="1" applyBorder="1" applyAlignment="1">
      <alignment horizontal="center"/>
    </xf>
    <xf numFmtId="0" fontId="13" fillId="9" borderId="2"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7" fillId="0" borderId="0" xfId="0" applyFont="1" applyAlignment="1">
      <alignment horizontal="center"/>
    </xf>
    <xf numFmtId="0" fontId="9" fillId="2" borderId="0" xfId="0" applyFont="1" applyFill="1" applyAlignment="1">
      <alignment horizontal="center"/>
    </xf>
    <xf numFmtId="0" fontId="11" fillId="8" borderId="0" xfId="0" applyFont="1" applyFill="1" applyAlignment="1">
      <alignment horizontal="center"/>
    </xf>
    <xf numFmtId="0" fontId="12" fillId="8" borderId="0" xfId="0" applyFont="1" applyFill="1" applyAlignment="1">
      <alignment horizontal="center"/>
    </xf>
    <xf numFmtId="0" fontId="0" fillId="8" borderId="0" xfId="0" applyFill="1" applyAlignment="1">
      <alignment horizontal="center"/>
    </xf>
    <xf numFmtId="0" fontId="19" fillId="0" borderId="0" xfId="0" applyFont="1"/>
    <xf numFmtId="0" fontId="20" fillId="0" borderId="0" xfId="0" applyFont="1" applyAlignment="1">
      <alignment horizontal="center"/>
    </xf>
    <xf numFmtId="0" fontId="22" fillId="0" borderId="0" xfId="0" applyFont="1" applyAlignment="1">
      <alignment horizontal="center" vertical="center" wrapText="1"/>
    </xf>
    <xf numFmtId="0" fontId="1" fillId="6" borderId="4" xfId="0" applyFont="1" applyFill="1" applyBorder="1" applyAlignment="1">
      <alignment horizontal="center" vertical="center" wrapText="1"/>
    </xf>
    <xf numFmtId="0" fontId="1" fillId="7"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6400"/>
      <rgbColor rgb="FF000080"/>
      <rgbColor rgb="FF808000"/>
      <rgbColor rgb="FF800080"/>
      <rgbColor rgb="FF008080"/>
      <rgbColor rgb="FFB3B3B3"/>
      <rgbColor rgb="FF808080"/>
      <rgbColor rgb="FF9999FF"/>
      <rgbColor rgb="FFC0504D"/>
      <rgbColor rgb="FFEEECE1"/>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BBB59"/>
      <rgbColor rgb="FFFFC000"/>
      <rgbColor rgb="FFFF9900"/>
      <rgbColor rgb="FFFF6600"/>
      <rgbColor rgb="FF4F81BD"/>
      <rgbColor rgb="FF969696"/>
      <rgbColor rgb="FF003366"/>
      <rgbColor rgb="FF339966"/>
      <rgbColor rgb="FF003300"/>
      <rgbColor rgb="FF2F4F4F"/>
      <rgbColor rgb="FF993300"/>
      <rgbColor rgb="FF993366"/>
      <rgbColor rgb="FF1F4E78"/>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Fragility Score by Domain</a:t>
            </a:r>
          </a:p>
        </c:rich>
      </c:tx>
      <c:overlay val="0"/>
      <c:spPr>
        <a:noFill/>
        <a:ln w="0">
          <a:noFill/>
        </a:ln>
      </c:spPr>
    </c:title>
    <c:autoTitleDeleted val="0"/>
    <c:plotArea>
      <c:layout/>
      <c:barChart>
        <c:barDir val="col"/>
        <c:grouping val="clustered"/>
        <c:varyColors val="0"/>
        <c:ser>
          <c:idx val="0"/>
          <c:order val="0"/>
          <c:tx>
            <c:strRef>
              <c:f>'MISSION COMMAND'!$D$16</c:f>
              <c:strCache>
                <c:ptCount val="1"/>
                <c:pt idx="0">
                  <c:v>Fragility Score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'MISSION COMMAND'!$A$17:$A$22</c:f>
              <c:strCache>
                <c:ptCount val="6"/>
                <c:pt idx="0">
                  <c:v>Physics</c:v>
                </c:pt>
                <c:pt idx="1">
                  <c:v>Biology</c:v>
                </c:pt>
                <c:pt idx="2">
                  <c:v>Ecology</c:v>
                </c:pt>
                <c:pt idx="3">
                  <c:v>Politics</c:v>
                </c:pt>
                <c:pt idx="4">
                  <c:v>Finance</c:v>
                </c:pt>
                <c:pt idx="5">
                  <c:v>Nurture</c:v>
                </c:pt>
              </c:strCache>
            </c:strRef>
          </c:cat>
          <c:val>
            <c:numRef>
              <c:f>'MISSION COMMAND'!$D$17:$D$22</c:f>
              <c:numCache>
                <c:formatCode>General</c:formatCode>
                <c:ptCount val="6"/>
                <c:pt idx="0">
                  <c:v>27</c:v>
                </c:pt>
                <c:pt idx="1">
                  <c:v>21</c:v>
                </c:pt>
                <c:pt idx="2">
                  <c:v>18</c:v>
                </c:pt>
                <c:pt idx="3">
                  <c:v>24</c:v>
                </c:pt>
                <c:pt idx="4">
                  <c:v>30</c:v>
                </c:pt>
                <c:pt idx="5">
                  <c:v>15</c:v>
                </c:pt>
              </c:numCache>
            </c:numRef>
          </c:val>
          <c:extLst>
            <c:ext xmlns:c16="http://schemas.microsoft.com/office/drawing/2014/chart" uri="{C3380CC4-5D6E-409C-BE32-E72D297353CC}">
              <c16:uniqueId val="{00000000-6065-4FE2-9B2C-0891F1925047}"/>
            </c:ext>
          </c:extLst>
        </c:ser>
        <c:dLbls>
          <c:showLegendKey val="0"/>
          <c:showVal val="0"/>
          <c:showCatName val="0"/>
          <c:showSerName val="0"/>
          <c:showPercent val="0"/>
          <c:showBubbleSize val="0"/>
        </c:dLbls>
        <c:gapWidth val="150"/>
        <c:axId val="12193258"/>
        <c:axId val="7244934"/>
      </c:barChart>
      <c:catAx>
        <c:axId val="1219325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Domain</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44934"/>
        <c:crosses val="autoZero"/>
        <c:auto val="1"/>
        <c:lblAlgn val="ctr"/>
        <c:lblOffset val="100"/>
        <c:noMultiLvlLbl val="0"/>
      </c:catAx>
      <c:valAx>
        <c:axId val="724493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Fragility Score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19325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Barbell Strategy: Defense vs Offense</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0675-46AD-9293-6BC1D45EBABB}"/>
              </c:ext>
            </c:extLst>
          </c:dPt>
          <c:dPt>
            <c:idx val="1"/>
            <c:bubble3D val="0"/>
            <c:spPr>
              <a:solidFill>
                <a:srgbClr val="C0504D"/>
              </a:solidFill>
              <a:ln w="0">
                <a:noFill/>
              </a:ln>
            </c:spPr>
            <c:extLst>
              <c:ext xmlns:c16="http://schemas.microsoft.com/office/drawing/2014/chart" uri="{C3380CC4-5D6E-409C-BE32-E72D297353CC}">
                <c16:uniqueId val="{00000003-0675-46AD-9293-6BC1D45EBABB}"/>
              </c:ext>
            </c:extLst>
          </c:dPt>
          <c:dPt>
            <c:idx val="2"/>
            <c:bubble3D val="0"/>
            <c:spPr>
              <a:solidFill>
                <a:srgbClr val="9BBB59"/>
              </a:solidFill>
              <a:ln w="0">
                <a:noFill/>
              </a:ln>
            </c:spPr>
            <c:extLst>
              <c:ext xmlns:c16="http://schemas.microsoft.com/office/drawing/2014/chart" uri="{C3380CC4-5D6E-409C-BE32-E72D297353CC}">
                <c16:uniqueId val="{00000005-0675-46AD-9293-6BC1D45EBABB}"/>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675-46AD-9293-6BC1D45EBABB}"/>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675-46AD-9293-6BC1D45EBABB}"/>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0675-46AD-9293-6BC1D45EBABB}"/>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'MISSION COMMAND'!$A$10:$A$11</c:f>
              <c:strCache>
                <c:ptCount val="2"/>
                <c:pt idx="0">
                  <c:v>Affairs (Defense) %</c:v>
                </c:pt>
                <c:pt idx="1">
                  <c:v>Interests (Offense) %</c:v>
                </c:pt>
              </c:strCache>
            </c:strRef>
          </c:cat>
          <c:val>
            <c:numRef>
              <c:f>'MISSION COMMAND'!$C$9:$C$11</c:f>
              <c:numCache>
                <c:formatCode>General</c:formatCode>
                <c:ptCount val="3"/>
                <c:pt idx="0">
                  <c:v>0</c:v>
                </c:pt>
                <c:pt idx="1">
                  <c:v>100</c:v>
                </c:pt>
                <c:pt idx="2">
                  <c:v>100</c:v>
                </c:pt>
              </c:numCache>
            </c:numRef>
          </c:val>
          <c:extLst>
            <c:ext xmlns:c16="http://schemas.microsoft.com/office/drawing/2014/chart" uri="{C3380CC4-5D6E-409C-BE32-E72D297353CC}">
              <c16:uniqueId val="{00000006-0675-46AD-9293-6BC1D45EBAB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Virtue Spiral - Progress to Antifragility</a:t>
            </a:r>
          </a:p>
        </c:rich>
      </c:tx>
      <c:overlay val="0"/>
      <c:spPr>
        <a:noFill/>
        <a:ln w="0">
          <a:noFill/>
        </a:ln>
      </c:spPr>
    </c:title>
    <c:autoTitleDeleted val="0"/>
    <c:plotArea>
      <c:layout/>
      <c:barChart>
        <c:barDir val="bar"/>
        <c:grouping val="clustered"/>
        <c:varyColors val="0"/>
        <c:ser>
          <c:idx val="0"/>
          <c:order val="0"/>
          <c:tx>
            <c:strRef>
              <c:f>'MISSION COMMAND'!$D$25</c:f>
              <c:strCache>
                <c:ptCount val="1"/>
                <c:pt idx="0">
                  <c:v>% Complete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'MISSION COMMAND'!$A$26:$A$29</c:f>
              <c:strCache>
                <c:ptCount val="4"/>
                <c:pt idx="0">
                  <c:v>1. FRAGILE → Identify Vulnerabilities</c:v>
                </c:pt>
                <c:pt idx="1">
                  <c:v>2. ROBUST → Hedge All Affairs</c:v>
                </c:pt>
                <c:pt idx="2">
                  <c:v>3. ANTIFRAGILE → Execute Interests</c:v>
                </c:pt>
                <c:pt idx="3">
                  <c:v>4. CONVEX → Compound Wins</c:v>
                </c:pt>
              </c:strCache>
            </c:strRef>
          </c:cat>
          <c:val>
            <c:numRef>
              <c:f>'MISSION COMMAND'!$D$26:$D$29</c:f>
              <c:numCache>
                <c:formatCode>0%</c:formatCode>
                <c:ptCount val="4"/>
                <c:pt idx="0">
                  <c:v>1</c:v>
                </c:pt>
                <c:pt idx="1">
                  <c:v>0.66666666666666663</c:v>
                </c:pt>
                <c:pt idx="2">
                  <c:v>0.2</c:v>
                </c:pt>
                <c:pt idx="3">
                  <c:v>0.2</c:v>
                </c:pt>
              </c:numCache>
            </c:numRef>
          </c:val>
          <c:extLst>
            <c:ext xmlns:c16="http://schemas.microsoft.com/office/drawing/2014/chart" uri="{C3380CC4-5D6E-409C-BE32-E72D297353CC}">
              <c16:uniqueId val="{00000000-4719-459A-A650-0C600BEB4E9A}"/>
            </c:ext>
          </c:extLst>
        </c:ser>
        <c:dLbls>
          <c:showLegendKey val="0"/>
          <c:showVal val="0"/>
          <c:showCatName val="0"/>
          <c:showSerName val="0"/>
          <c:showPercent val="0"/>
          <c:showBubbleSize val="0"/>
        </c:dLbls>
        <c:gapWidth val="150"/>
        <c:axId val="42503180"/>
        <c:axId val="55731710"/>
      </c:barChart>
      <c:catAx>
        <c:axId val="42503180"/>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 Complete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731710"/>
        <c:crosses val="autoZero"/>
        <c:auto val="1"/>
        <c:lblAlgn val="ctr"/>
        <c:lblOffset val="100"/>
        <c:noMultiLvlLbl val="0"/>
      </c:catAx>
      <c:valAx>
        <c:axId val="55731710"/>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Stage</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5031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15</xdr:row>
      <xdr:rowOff>0</xdr:rowOff>
    </xdr:from>
    <xdr:to>
      <xdr:col>17</xdr:col>
      <xdr:colOff>170280</xdr:colOff>
      <xdr:row>23</xdr:row>
      <xdr:rowOff>142200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7</xdr:row>
      <xdr:rowOff>0</xdr:rowOff>
    </xdr:from>
    <xdr:to>
      <xdr:col>12</xdr:col>
      <xdr:colOff>347760</xdr:colOff>
      <xdr:row>15</xdr:row>
      <xdr:rowOff>84960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24</xdr:row>
      <xdr:rowOff>0</xdr:rowOff>
    </xdr:from>
    <xdr:to>
      <xdr:col>16</xdr:col>
      <xdr:colOff>61920</xdr:colOff>
      <xdr:row>28</xdr:row>
      <xdr:rowOff>243000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zoomScaleNormal="100" workbookViewId="0">
      <selection activeCell="C1" sqref="A1:XFD1048576"/>
    </sheetView>
  </sheetViews>
  <sheetFormatPr defaultColWidth="8.6328125" defaultRowHeight="14.5" x14ac:dyDescent="0.35"/>
  <cols>
    <col min="1" max="1" width="20" customWidth="1"/>
    <col min="2" max="2" width="80" customWidth="1"/>
  </cols>
  <sheetData>
    <row r="1" spans="1:10" ht="30" customHeight="1" x14ac:dyDescent="0.35">
      <c r="A1" s="34" t="s">
        <v>0</v>
      </c>
      <c r="B1" s="34"/>
      <c r="C1" s="34"/>
      <c r="D1" s="34"/>
      <c r="E1" s="34"/>
      <c r="F1" s="34"/>
    </row>
    <row r="3" spans="1:10" ht="15" customHeight="1" x14ac:dyDescent="0.35">
      <c r="A3" s="35" t="s">
        <v>1</v>
      </c>
      <c r="B3" s="35"/>
      <c r="C3" s="35"/>
      <c r="D3" s="35"/>
      <c r="E3" s="35"/>
      <c r="F3" s="35"/>
    </row>
    <row r="5" spans="1:10" x14ac:dyDescent="0.35">
      <c r="A5" s="1" t="s">
        <v>2</v>
      </c>
    </row>
    <row r="6" spans="1:10" ht="15" customHeight="1" x14ac:dyDescent="0.35">
      <c r="A6" s="33" t="s">
        <v>3</v>
      </c>
      <c r="B6" s="33"/>
      <c r="C6" s="33"/>
      <c r="D6" s="33"/>
      <c r="E6" s="33"/>
      <c r="F6" s="33"/>
      <c r="I6" t="s">
        <v>457</v>
      </c>
      <c r="J6" t="s">
        <v>458</v>
      </c>
    </row>
    <row r="7" spans="1:10" x14ac:dyDescent="0.35">
      <c r="A7" s="33"/>
      <c r="B7" s="33"/>
      <c r="C7" s="33"/>
      <c r="D7" s="33"/>
      <c r="E7" s="33"/>
      <c r="F7" s="33"/>
    </row>
    <row r="8" spans="1:10" x14ac:dyDescent="0.35">
      <c r="A8" s="33"/>
      <c r="B8" s="33"/>
      <c r="C8" s="33"/>
      <c r="D8" s="33"/>
      <c r="E8" s="33"/>
      <c r="F8" s="33"/>
    </row>
    <row r="9" spans="1:10" x14ac:dyDescent="0.35">
      <c r="A9" s="33"/>
      <c r="B9" s="33"/>
      <c r="C9" s="33"/>
      <c r="D9" s="33"/>
      <c r="E9" s="33"/>
      <c r="F9" s="33"/>
    </row>
    <row r="10" spans="1:10" x14ac:dyDescent="0.35">
      <c r="A10" s="33"/>
      <c r="B10" s="33"/>
      <c r="C10" s="33"/>
      <c r="D10" s="33"/>
      <c r="E10" s="33"/>
      <c r="F10" s="33"/>
    </row>
    <row r="12" spans="1:10" ht="26" x14ac:dyDescent="0.35">
      <c r="A12" s="1" t="s">
        <v>4</v>
      </c>
    </row>
    <row r="13" spans="1:10" ht="23.9" customHeight="1" x14ac:dyDescent="0.35">
      <c r="A13" s="1" t="s">
        <v>5</v>
      </c>
      <c r="B13" s="33" t="s">
        <v>6</v>
      </c>
      <c r="C13" s="33"/>
      <c r="D13" s="33"/>
      <c r="E13" s="33"/>
      <c r="F13" s="33"/>
    </row>
    <row r="15" spans="1:10" ht="15" customHeight="1" x14ac:dyDescent="0.35">
      <c r="A15" s="1" t="s">
        <v>7</v>
      </c>
      <c r="B15" s="33" t="s">
        <v>8</v>
      </c>
      <c r="C15" s="33"/>
      <c r="D15" s="33"/>
      <c r="E15" s="33"/>
      <c r="F15" s="33"/>
    </row>
    <row r="17" spans="1:6" ht="23.9" customHeight="1" x14ac:dyDescent="0.35">
      <c r="A17" s="1" t="s">
        <v>9</v>
      </c>
      <c r="B17" s="33" t="s">
        <v>10</v>
      </c>
      <c r="C17" s="33"/>
      <c r="D17" s="33"/>
      <c r="E17" s="33"/>
      <c r="F17" s="33"/>
    </row>
    <row r="19" spans="1:6" ht="23.9" customHeight="1" x14ac:dyDescent="0.35">
      <c r="A19" s="1" t="s">
        <v>11</v>
      </c>
      <c r="B19" s="33" t="s">
        <v>12</v>
      </c>
      <c r="C19" s="33"/>
      <c r="D19" s="33"/>
      <c r="E19" s="33"/>
      <c r="F19" s="33"/>
    </row>
    <row r="23" spans="1:6" ht="26" x14ac:dyDescent="0.35">
      <c r="A23" s="1" t="s">
        <v>13</v>
      </c>
    </row>
    <row r="24" spans="1:6" ht="15" customHeight="1" x14ac:dyDescent="0.35">
      <c r="A24" s="1" t="s">
        <v>14</v>
      </c>
      <c r="B24" s="33" t="s">
        <v>15</v>
      </c>
      <c r="C24" s="33"/>
      <c r="D24" s="33"/>
      <c r="E24" s="33"/>
      <c r="F24" s="33"/>
    </row>
    <row r="25" spans="1:6" ht="15" customHeight="1" x14ac:dyDescent="0.35">
      <c r="A25" s="1" t="s">
        <v>16</v>
      </c>
      <c r="B25" s="33" t="s">
        <v>17</v>
      </c>
      <c r="C25" s="33"/>
      <c r="D25" s="33"/>
      <c r="E25" s="33"/>
      <c r="F25" s="33"/>
    </row>
    <row r="26" spans="1:6" ht="15" customHeight="1" x14ac:dyDescent="0.35">
      <c r="A26" s="1" t="s">
        <v>18</v>
      </c>
      <c r="B26" s="33" t="s">
        <v>19</v>
      </c>
      <c r="C26" s="33"/>
      <c r="D26" s="33"/>
      <c r="E26" s="33"/>
      <c r="F26" s="33"/>
    </row>
    <row r="27" spans="1:6" ht="15" customHeight="1" x14ac:dyDescent="0.35">
      <c r="A27" s="1" t="s">
        <v>20</v>
      </c>
      <c r="B27" s="33" t="s">
        <v>21</v>
      </c>
      <c r="C27" s="33"/>
      <c r="D27" s="33"/>
      <c r="E27" s="33"/>
      <c r="F27" s="33"/>
    </row>
    <row r="29" spans="1:6" ht="26" x14ac:dyDescent="0.35">
      <c r="A29" s="1" t="s">
        <v>22</v>
      </c>
    </row>
    <row r="30" spans="1:6" ht="15" customHeight="1" x14ac:dyDescent="0.35">
      <c r="A30" s="1" t="s">
        <v>23</v>
      </c>
      <c r="B30" s="33" t="s">
        <v>24</v>
      </c>
      <c r="C30" s="33"/>
      <c r="D30" s="33"/>
      <c r="E30" s="33"/>
      <c r="F30" s="33"/>
    </row>
    <row r="31" spans="1:6" ht="15" customHeight="1" x14ac:dyDescent="0.35">
      <c r="A31" s="1" t="s">
        <v>25</v>
      </c>
      <c r="B31" s="33" t="s">
        <v>26</v>
      </c>
      <c r="C31" s="33"/>
      <c r="D31" s="33"/>
      <c r="E31" s="33"/>
      <c r="F31" s="33"/>
    </row>
    <row r="32" spans="1:6" ht="15" customHeight="1" x14ac:dyDescent="0.35">
      <c r="A32" s="1" t="s">
        <v>27</v>
      </c>
      <c r="B32" s="33" t="s">
        <v>28</v>
      </c>
      <c r="C32" s="33"/>
      <c r="D32" s="33"/>
      <c r="E32" s="33"/>
      <c r="F32" s="33"/>
    </row>
    <row r="33" spans="1:6" ht="15" customHeight="1" x14ac:dyDescent="0.35">
      <c r="A33" s="1" t="s">
        <v>29</v>
      </c>
      <c r="B33" s="33" t="s">
        <v>30</v>
      </c>
      <c r="C33" s="33"/>
      <c r="D33" s="33"/>
      <c r="E33" s="33"/>
      <c r="F33" s="33"/>
    </row>
    <row r="34" spans="1:6" ht="15" customHeight="1" x14ac:dyDescent="0.35">
      <c r="A34" s="1" t="s">
        <v>31</v>
      </c>
      <c r="B34" s="33" t="s">
        <v>32</v>
      </c>
      <c r="C34" s="33"/>
      <c r="D34" s="33"/>
      <c r="E34" s="33"/>
      <c r="F34" s="33"/>
    </row>
    <row r="35" spans="1:6" ht="15" customHeight="1" x14ac:dyDescent="0.35">
      <c r="A35" s="1" t="s">
        <v>33</v>
      </c>
      <c r="B35" s="33" t="s">
        <v>34</v>
      </c>
      <c r="C35" s="33"/>
      <c r="D35" s="33"/>
      <c r="E35" s="33"/>
      <c r="F35" s="33"/>
    </row>
    <row r="37" spans="1:6" ht="26" x14ac:dyDescent="0.35">
      <c r="A37" s="1" t="s">
        <v>35</v>
      </c>
    </row>
    <row r="38" spans="1:6" ht="15" customHeight="1" x14ac:dyDescent="0.35">
      <c r="A38" s="1" t="s">
        <v>36</v>
      </c>
      <c r="B38" s="33" t="s">
        <v>37</v>
      </c>
      <c r="C38" s="33"/>
      <c r="D38" s="33"/>
      <c r="E38" s="33"/>
      <c r="F38" s="33"/>
    </row>
    <row r="39" spans="1:6" ht="15" customHeight="1" x14ac:dyDescent="0.35">
      <c r="A39" s="1" t="s">
        <v>38</v>
      </c>
      <c r="B39" s="33" t="s">
        <v>39</v>
      </c>
      <c r="C39" s="33"/>
      <c r="D39" s="33"/>
      <c r="E39" s="33"/>
      <c r="F39" s="33"/>
    </row>
    <row r="40" spans="1:6" ht="23.9" customHeight="1" x14ac:dyDescent="0.35">
      <c r="A40" s="1" t="s">
        <v>40</v>
      </c>
      <c r="B40" s="33" t="s">
        <v>41</v>
      </c>
      <c r="C40" s="33"/>
      <c r="D40" s="33"/>
      <c r="E40" s="33"/>
      <c r="F40" s="33"/>
    </row>
    <row r="41" spans="1:6" ht="15" customHeight="1" x14ac:dyDescent="0.35">
      <c r="A41" s="1" t="s">
        <v>42</v>
      </c>
      <c r="B41" s="33" t="s">
        <v>43</v>
      </c>
      <c r="C41" s="33"/>
      <c r="D41" s="33"/>
      <c r="E41" s="33"/>
      <c r="F41" s="33"/>
    </row>
    <row r="43" spans="1:6" ht="26" x14ac:dyDescent="0.35">
      <c r="A43" s="1" t="s">
        <v>44</v>
      </c>
    </row>
    <row r="44" spans="1:6" ht="15" customHeight="1" x14ac:dyDescent="0.35">
      <c r="A44" s="33" t="s">
        <v>45</v>
      </c>
      <c r="B44" s="33"/>
      <c r="C44" s="33"/>
      <c r="D44" s="33"/>
      <c r="E44" s="33"/>
      <c r="F44" s="33"/>
    </row>
    <row r="45" spans="1:6" x14ac:dyDescent="0.35">
      <c r="A45" s="33"/>
      <c r="B45" s="33"/>
      <c r="C45" s="33"/>
      <c r="D45" s="33"/>
      <c r="E45" s="33"/>
      <c r="F45" s="33"/>
    </row>
    <row r="46" spans="1:6" x14ac:dyDescent="0.35">
      <c r="A46" s="33"/>
      <c r="B46" s="33"/>
      <c r="C46" s="33"/>
      <c r="D46" s="33"/>
      <c r="E46" s="33"/>
      <c r="F46" s="33"/>
    </row>
    <row r="47" spans="1:6" x14ac:dyDescent="0.35">
      <c r="A47" s="33"/>
      <c r="B47" s="33"/>
      <c r="C47" s="33"/>
      <c r="D47" s="33"/>
      <c r="E47" s="33"/>
      <c r="F47" s="33"/>
    </row>
    <row r="48" spans="1:6" x14ac:dyDescent="0.35">
      <c r="A48" s="33"/>
      <c r="B48" s="33"/>
      <c r="C48" s="33"/>
      <c r="D48" s="33"/>
      <c r="E48" s="33"/>
      <c r="F48" s="33"/>
    </row>
    <row r="49" spans="1:6" x14ac:dyDescent="0.35">
      <c r="A49" s="33"/>
      <c r="B49" s="33"/>
      <c r="C49" s="33"/>
      <c r="D49" s="33"/>
      <c r="E49" s="33"/>
      <c r="F49" s="33"/>
    </row>
    <row r="50" spans="1:6" x14ac:dyDescent="0.35">
      <c r="A50" s="33"/>
      <c r="B50" s="33"/>
      <c r="C50" s="33"/>
      <c r="D50" s="33"/>
      <c r="E50" s="33"/>
      <c r="F50" s="33"/>
    </row>
    <row r="51" spans="1:6" x14ac:dyDescent="0.35">
      <c r="A51" s="33"/>
      <c r="B51" s="33"/>
      <c r="C51" s="33"/>
      <c r="D51" s="33"/>
      <c r="E51" s="33"/>
      <c r="F51" s="33"/>
    </row>
    <row r="52" spans="1:6" x14ac:dyDescent="0.35">
      <c r="A52" s="33"/>
      <c r="B52" s="33"/>
      <c r="C52" s="33"/>
      <c r="D52" s="33"/>
      <c r="E52" s="33"/>
      <c r="F52" s="33"/>
    </row>
    <row r="53" spans="1:6" x14ac:dyDescent="0.35">
      <c r="A53" s="33"/>
      <c r="B53" s="33"/>
      <c r="C53" s="33"/>
      <c r="D53" s="33"/>
      <c r="E53" s="33"/>
      <c r="F53" s="33"/>
    </row>
  </sheetData>
  <mergeCells count="22">
    <mergeCell ref="A1:F1"/>
    <mergeCell ref="A3:F3"/>
    <mergeCell ref="A6:F10"/>
    <mergeCell ref="B13:F13"/>
    <mergeCell ref="B15:F15"/>
    <mergeCell ref="B17:F17"/>
    <mergeCell ref="B19:F19"/>
    <mergeCell ref="B24:F24"/>
    <mergeCell ref="B25:F25"/>
    <mergeCell ref="B26:F26"/>
    <mergeCell ref="B27:F27"/>
    <mergeCell ref="B30:F30"/>
    <mergeCell ref="B31:F31"/>
    <mergeCell ref="B32:F32"/>
    <mergeCell ref="B33:F33"/>
    <mergeCell ref="B41:F41"/>
    <mergeCell ref="A44:F53"/>
    <mergeCell ref="B34:F34"/>
    <mergeCell ref="B35:F35"/>
    <mergeCell ref="B38:F38"/>
    <mergeCell ref="B39:F39"/>
    <mergeCell ref="B40:F4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8"/>
  <sheetViews>
    <sheetView tabSelected="1" zoomScaleNormal="100" workbookViewId="0">
      <selection activeCell="C1" sqref="A1:XFD1048576"/>
    </sheetView>
  </sheetViews>
  <sheetFormatPr defaultColWidth="8.6328125" defaultRowHeight="14.5" x14ac:dyDescent="0.35"/>
  <cols>
    <col min="1" max="1" width="5" customWidth="1"/>
    <col min="2" max="2" width="12" customWidth="1"/>
    <col min="3" max="3" width="35" customWidth="1"/>
    <col min="4" max="4" width="12" customWidth="1"/>
    <col min="5" max="6" width="8" customWidth="1"/>
    <col min="7" max="9" width="12" customWidth="1"/>
    <col min="10" max="10" width="15" customWidth="1"/>
  </cols>
  <sheetData>
    <row r="1" spans="1:13" ht="24.75" customHeight="1" x14ac:dyDescent="0.35">
      <c r="A1" s="39" t="s">
        <v>46</v>
      </c>
      <c r="B1" s="39"/>
      <c r="C1" s="39"/>
      <c r="D1" s="39"/>
      <c r="E1" s="39"/>
      <c r="F1" s="39"/>
      <c r="G1" s="39"/>
      <c r="H1" s="39"/>
      <c r="I1" s="39"/>
      <c r="J1" s="39"/>
      <c r="K1" s="39"/>
      <c r="L1" s="39"/>
      <c r="M1" s="39"/>
    </row>
    <row r="2" spans="1:13" ht="15" customHeight="1" x14ac:dyDescent="0.35">
      <c r="A2" s="40" t="s">
        <v>47</v>
      </c>
      <c r="B2" s="40"/>
      <c r="C2" s="40"/>
      <c r="D2" s="40"/>
      <c r="E2" s="40"/>
      <c r="F2" s="40"/>
      <c r="G2" s="40"/>
      <c r="H2" s="40"/>
      <c r="I2" s="40"/>
      <c r="J2" s="40"/>
      <c r="K2" s="40"/>
      <c r="L2" s="40"/>
      <c r="M2" s="40"/>
    </row>
    <row r="3" spans="1:13" ht="15" customHeight="1" x14ac:dyDescent="0.35">
      <c r="A3" s="38" t="s">
        <v>48</v>
      </c>
      <c r="B3" s="38"/>
      <c r="C3" s="38"/>
      <c r="D3" s="38"/>
      <c r="E3" s="38"/>
      <c r="F3" s="38"/>
      <c r="G3" s="38"/>
      <c r="H3" s="38"/>
      <c r="I3" s="38"/>
      <c r="J3" s="38"/>
      <c r="K3" s="38"/>
      <c r="L3" s="38"/>
      <c r="M3" s="38"/>
    </row>
    <row r="4" spans="1:13" ht="45.75" customHeight="1" x14ac:dyDescent="0.35">
      <c r="A4" s="2" t="s">
        <v>49</v>
      </c>
      <c r="B4" s="3">
        <f ca="1">NOW()</f>
        <v>46080.032040972219</v>
      </c>
      <c r="C4" s="2" t="s">
        <v>50</v>
      </c>
      <c r="D4" s="2">
        <v>30</v>
      </c>
      <c r="E4" s="2" t="s">
        <v>51</v>
      </c>
      <c r="F4" s="2" t="str">
        <f>D4&amp;" years, "&amp;ROUND((D4-INT(D4))*365,0)&amp;" days"</f>
        <v>30 years, 0 days</v>
      </c>
    </row>
    <row r="5" spans="1:13" ht="34.5" customHeight="1" x14ac:dyDescent="0.35">
      <c r="A5" s="2" t="s">
        <v>52</v>
      </c>
      <c r="B5" s="4">
        <f ca="1">DATE(YEAR(NOW())-D4,MONTH(NOW()),DAY(NOW()))</f>
        <v>35122</v>
      </c>
      <c r="C5" s="2" t="s">
        <v>53</v>
      </c>
      <c r="D5" s="2">
        <v>80</v>
      </c>
      <c r="E5" s="2" t="s">
        <v>54</v>
      </c>
      <c r="F5" s="2" t="str">
        <f>(D5-D4)&amp;" years"</f>
        <v>50 years</v>
      </c>
    </row>
    <row r="6" spans="1:13" ht="23.25" customHeight="1" x14ac:dyDescent="0.35">
      <c r="A6" s="2" t="s">
        <v>55</v>
      </c>
      <c r="B6" s="2">
        <f>ROUND(D4*365.25,0)</f>
        <v>10958</v>
      </c>
      <c r="C6" s="2" t="s">
        <v>56</v>
      </c>
      <c r="D6" s="2">
        <f>ROUND((D5-D4)*365.25,0)</f>
        <v>18263</v>
      </c>
      <c r="E6" s="2" t="s">
        <v>23</v>
      </c>
      <c r="F6" s="5">
        <f>D4/D5</f>
        <v>0.375</v>
      </c>
      <c r="I6" t="s">
        <v>457</v>
      </c>
      <c r="J6" t="s">
        <v>458</v>
      </c>
    </row>
    <row r="8" spans="1:13" ht="15" customHeight="1" x14ac:dyDescent="0.35">
      <c r="A8" s="37" t="s">
        <v>57</v>
      </c>
      <c r="B8" s="37"/>
      <c r="C8" s="37"/>
      <c r="D8" s="37"/>
      <c r="E8" s="37"/>
      <c r="F8" s="37"/>
      <c r="G8" s="37"/>
      <c r="H8" s="37"/>
      <c r="I8" s="37"/>
      <c r="J8" s="37"/>
      <c r="K8" s="37"/>
      <c r="L8" s="37"/>
      <c r="M8" s="37"/>
    </row>
    <row r="9" spans="1:13" ht="26.25" customHeight="1" x14ac:dyDescent="0.35">
      <c r="A9" s="6" t="s">
        <v>58</v>
      </c>
      <c r="B9" s="6" t="s">
        <v>59</v>
      </c>
      <c r="C9" s="6" t="s">
        <v>60</v>
      </c>
      <c r="D9" s="6" t="s">
        <v>61</v>
      </c>
      <c r="E9" s="6" t="s">
        <v>62</v>
      </c>
    </row>
    <row r="10" spans="1:13" ht="57" customHeight="1" x14ac:dyDescent="0.35">
      <c r="A10" s="2" t="s">
        <v>63</v>
      </c>
      <c r="B10" s="7">
        <v>90</v>
      </c>
      <c r="C10" s="2">
        <f>COUNTA('Affairs '!B3:B8)/6*100</f>
        <v>100</v>
      </c>
      <c r="D10" s="2" t="str">
        <f>IF(C10&gt;=B10,"✓ ROBUST","⚠ FRAGILE")</f>
        <v>✓ ROBUST</v>
      </c>
      <c r="E10" s="2">
        <f>B10-C10</f>
        <v>-10</v>
      </c>
    </row>
    <row r="11" spans="1:13" ht="57" customHeight="1" x14ac:dyDescent="0.35">
      <c r="A11" s="2" t="s">
        <v>64</v>
      </c>
      <c r="B11" s="7">
        <v>10</v>
      </c>
      <c r="C11" s="2">
        <f>COUNTA(Intrests!A2:A10)/9*100</f>
        <v>100</v>
      </c>
      <c r="D11" s="2" t="str">
        <f>IF(C11&lt;=B11,"✓ BALANCED","⚠ OVEREXTENDED")</f>
        <v>⚠ OVEREXTENDED</v>
      </c>
      <c r="E11" s="2">
        <f>C11-B11</f>
        <v>90</v>
      </c>
    </row>
    <row r="12" spans="1:13" ht="45.75" customHeight="1" x14ac:dyDescent="0.35">
      <c r="A12" s="2" t="s">
        <v>29</v>
      </c>
      <c r="B12" s="7">
        <v>1.5</v>
      </c>
      <c r="C12" s="2">
        <v>1.2</v>
      </c>
      <c r="D12" s="2" t="str">
        <f>IF(C12&gt;=B12,"✓ ANTIFRAGILE","⚠ CONCAVE")</f>
        <v>⚠ CONCAVE</v>
      </c>
      <c r="E12" s="2">
        <f>B12-C12</f>
        <v>0.30000000000000004</v>
      </c>
    </row>
    <row r="13" spans="1:13" ht="45.75" customHeight="1" x14ac:dyDescent="0.35">
      <c r="A13" s="2" t="s">
        <v>65</v>
      </c>
      <c r="B13" s="7">
        <v>100</v>
      </c>
      <c r="C13" s="2">
        <v>75</v>
      </c>
      <c r="D13" s="2" t="str">
        <f>IF(C13&gt;=B13,"✓ HEDGED","🔴 EXPOSED")</f>
        <v>🔴 EXPOSED</v>
      </c>
      <c r="E13" s="2">
        <f>B13-C13</f>
        <v>25</v>
      </c>
    </row>
    <row r="15" spans="1:13" ht="15" customHeight="1" x14ac:dyDescent="0.35">
      <c r="A15" s="41" t="s">
        <v>66</v>
      </c>
      <c r="B15" s="41"/>
      <c r="C15" s="41"/>
      <c r="D15" s="41"/>
      <c r="E15" s="41"/>
      <c r="F15" s="41"/>
      <c r="G15" s="41"/>
      <c r="H15" s="41"/>
      <c r="I15" s="41"/>
      <c r="J15" s="41"/>
      <c r="K15" s="41"/>
      <c r="L15" s="41"/>
      <c r="M15" s="41"/>
    </row>
    <row r="16" spans="1:13" ht="39" customHeight="1" x14ac:dyDescent="0.35">
      <c r="A16" s="6" t="s">
        <v>67</v>
      </c>
      <c r="B16" s="6" t="s">
        <v>68</v>
      </c>
      <c r="C16" s="6" t="s">
        <v>69</v>
      </c>
      <c r="D16" s="6" t="s">
        <v>25</v>
      </c>
      <c r="E16" s="6" t="s">
        <v>61</v>
      </c>
      <c r="F16" s="6" t="s">
        <v>70</v>
      </c>
    </row>
    <row r="17" spans="1:13" ht="34.5" customHeight="1" x14ac:dyDescent="0.35">
      <c r="A17" s="2" t="s">
        <v>71</v>
      </c>
      <c r="B17" s="2" t="s">
        <v>72</v>
      </c>
      <c r="C17" s="7">
        <v>9</v>
      </c>
      <c r="D17" s="2">
        <f t="shared" ref="D17:D22" si="0">C17*3</f>
        <v>27</v>
      </c>
      <c r="E17" s="2" t="str">
        <f t="shared" ref="E17:E22" si="1">IF(D17&gt;20,"🔴 CRITICAL",IF(D17&gt;10,"🟡 MEDIUM","🟢 LOW"))</f>
        <v>🔴 CRITICAL</v>
      </c>
      <c r="F17" s="2" t="s">
        <v>73</v>
      </c>
    </row>
    <row r="18" spans="1:13" ht="45.75" customHeight="1" x14ac:dyDescent="0.35">
      <c r="A18" s="2" t="s">
        <v>74</v>
      </c>
      <c r="B18" s="2" t="s">
        <v>75</v>
      </c>
      <c r="C18" s="7">
        <v>7</v>
      </c>
      <c r="D18" s="2">
        <f t="shared" si="0"/>
        <v>21</v>
      </c>
      <c r="E18" s="2" t="str">
        <f t="shared" si="1"/>
        <v>🔴 CRITICAL</v>
      </c>
      <c r="F18" s="2" t="s">
        <v>76</v>
      </c>
    </row>
    <row r="19" spans="1:13" ht="34.5" customHeight="1" x14ac:dyDescent="0.35">
      <c r="A19" s="2" t="s">
        <v>77</v>
      </c>
      <c r="B19" s="2" t="s">
        <v>78</v>
      </c>
      <c r="C19" s="7">
        <v>6</v>
      </c>
      <c r="D19" s="2">
        <f t="shared" si="0"/>
        <v>18</v>
      </c>
      <c r="E19" s="2" t="str">
        <f t="shared" si="1"/>
        <v>🟡 MEDIUM</v>
      </c>
      <c r="F19" s="2" t="s">
        <v>79</v>
      </c>
    </row>
    <row r="20" spans="1:13" ht="34.5" customHeight="1" x14ac:dyDescent="0.35">
      <c r="A20" s="2" t="s">
        <v>80</v>
      </c>
      <c r="B20" s="2" t="s">
        <v>81</v>
      </c>
      <c r="C20" s="7">
        <v>8</v>
      </c>
      <c r="D20" s="2">
        <f t="shared" si="0"/>
        <v>24</v>
      </c>
      <c r="E20" s="2" t="str">
        <f t="shared" si="1"/>
        <v>🔴 CRITICAL</v>
      </c>
      <c r="F20" s="2" t="s">
        <v>82</v>
      </c>
    </row>
    <row r="21" spans="1:13" ht="34.5" customHeight="1" x14ac:dyDescent="0.35">
      <c r="A21" s="2" t="s">
        <v>83</v>
      </c>
      <c r="B21" s="2" t="s">
        <v>84</v>
      </c>
      <c r="C21" s="7">
        <v>10</v>
      </c>
      <c r="D21" s="2">
        <f t="shared" si="0"/>
        <v>30</v>
      </c>
      <c r="E21" s="2" t="str">
        <f t="shared" si="1"/>
        <v>🔴 CRITICAL</v>
      </c>
      <c r="F21" s="2" t="s">
        <v>85</v>
      </c>
    </row>
    <row r="22" spans="1:13" ht="34.5" customHeight="1" x14ac:dyDescent="0.35">
      <c r="A22" s="2" t="s">
        <v>86</v>
      </c>
      <c r="B22" s="2" t="s">
        <v>87</v>
      </c>
      <c r="C22" s="7">
        <v>5</v>
      </c>
      <c r="D22" s="2">
        <f t="shared" si="0"/>
        <v>15</v>
      </c>
      <c r="E22" s="2" t="str">
        <f t="shared" si="1"/>
        <v>🟡 MEDIUM</v>
      </c>
      <c r="F22" s="2" t="s">
        <v>88</v>
      </c>
    </row>
    <row r="24" spans="1:13" ht="15" customHeight="1" x14ac:dyDescent="0.35">
      <c r="A24" s="36" t="s">
        <v>89</v>
      </c>
      <c r="B24" s="36"/>
      <c r="C24" s="36"/>
      <c r="D24" s="36"/>
      <c r="E24" s="36"/>
      <c r="F24" s="36"/>
      <c r="G24" s="36"/>
      <c r="H24" s="36"/>
      <c r="I24" s="36"/>
      <c r="J24" s="36"/>
      <c r="K24" s="36"/>
      <c r="L24" s="36"/>
      <c r="M24" s="36"/>
    </row>
    <row r="25" spans="1:13" ht="26.25" customHeight="1" x14ac:dyDescent="0.35">
      <c r="A25" s="6" t="s">
        <v>90</v>
      </c>
      <c r="B25" s="6" t="s">
        <v>59</v>
      </c>
      <c r="C25" s="6" t="s">
        <v>91</v>
      </c>
      <c r="D25" s="6" t="s">
        <v>92</v>
      </c>
      <c r="E25" s="6" t="s">
        <v>61</v>
      </c>
    </row>
    <row r="26" spans="1:13" ht="102" customHeight="1" x14ac:dyDescent="0.35">
      <c r="A26" s="2" t="s">
        <v>93</v>
      </c>
      <c r="B26" s="2">
        <v>6</v>
      </c>
      <c r="C26" s="2">
        <f>COUNTA('Affairs '!B3:B8)</f>
        <v>6</v>
      </c>
      <c r="D26" s="8">
        <f>C26/B26</f>
        <v>1</v>
      </c>
      <c r="E26" s="2" t="str">
        <f>IF(D26&gt;=1,"✓ COMPLETE",REPT("█",INT(D26*10))&amp;REPT("░",10-INT(D26*10)))</f>
        <v>✓ COMPLETE</v>
      </c>
    </row>
    <row r="27" spans="1:13" ht="90.75" customHeight="1" x14ac:dyDescent="0.35">
      <c r="A27" s="2" t="s">
        <v>94</v>
      </c>
      <c r="B27" s="2">
        <v>6</v>
      </c>
      <c r="C27" s="7">
        <v>4</v>
      </c>
      <c r="D27" s="8">
        <f>C27/B27</f>
        <v>0.66666666666666663</v>
      </c>
      <c r="E27" s="2" t="str">
        <f>IF(D27&gt;=1,"✓ COMPLETE",REPT("█",INT(D27*10))&amp;REPT("░",10-INT(D27*10)))</f>
        <v>██████░░░░</v>
      </c>
    </row>
    <row r="28" spans="1:13" ht="102" customHeight="1" x14ac:dyDescent="0.35">
      <c r="A28" s="2" t="s">
        <v>95</v>
      </c>
      <c r="B28" s="2">
        <v>10</v>
      </c>
      <c r="C28" s="7">
        <v>2</v>
      </c>
      <c r="D28" s="8">
        <f>C28/B28</f>
        <v>0.2</v>
      </c>
      <c r="E28" s="2" t="str">
        <f>IF(D28&gt;=1,"✓ COMPLETE",REPT("█",INT(D28*10))&amp;REPT("░",10-INT(D28*10)))</f>
        <v>██░░░░░░░░</v>
      </c>
    </row>
    <row r="29" spans="1:13" ht="90.75" customHeight="1" x14ac:dyDescent="0.35">
      <c r="A29" s="2" t="s">
        <v>96</v>
      </c>
      <c r="B29" s="2">
        <v>5</v>
      </c>
      <c r="C29" s="7">
        <v>1</v>
      </c>
      <c r="D29" s="8">
        <f>C29/B29</f>
        <v>0.2</v>
      </c>
      <c r="E29" s="2" t="str">
        <f>IF(D29&gt;=1,"✓ COMPLETE",REPT("█",INT(D29*10))&amp;REPT("░",10-INT(D29*10)))</f>
        <v>██░░░░░░░░</v>
      </c>
    </row>
    <row r="31" spans="1:13" ht="15" customHeight="1" x14ac:dyDescent="0.35">
      <c r="A31" s="37" t="s">
        <v>97</v>
      </c>
      <c r="B31" s="37"/>
      <c r="C31" s="37"/>
      <c r="D31" s="37"/>
      <c r="E31" s="37"/>
      <c r="F31" s="37"/>
      <c r="G31" s="37"/>
      <c r="H31" s="37"/>
      <c r="I31" s="37"/>
      <c r="J31" s="37"/>
      <c r="K31" s="37"/>
      <c r="L31" s="37"/>
      <c r="M31" s="37"/>
    </row>
    <row r="32" spans="1:13" ht="26.25" customHeight="1" x14ac:dyDescent="0.35">
      <c r="A32" s="6" t="s">
        <v>98</v>
      </c>
      <c r="B32" s="6" t="s">
        <v>67</v>
      </c>
      <c r="C32" s="6" t="s">
        <v>99</v>
      </c>
      <c r="D32" s="6" t="s">
        <v>100</v>
      </c>
      <c r="E32" s="6" t="s">
        <v>101</v>
      </c>
      <c r="F32" s="6" t="s">
        <v>102</v>
      </c>
      <c r="G32" s="6" t="s">
        <v>33</v>
      </c>
      <c r="H32" s="6" t="s">
        <v>103</v>
      </c>
      <c r="I32" s="6" t="s">
        <v>104</v>
      </c>
      <c r="J32" s="6" t="s">
        <v>61</v>
      </c>
    </row>
    <row r="33" spans="1:13" ht="15" customHeight="1" x14ac:dyDescent="0.35">
      <c r="A33" s="2">
        <v>1</v>
      </c>
      <c r="B33" s="2" t="s">
        <v>83</v>
      </c>
      <c r="C33" s="2" t="s">
        <v>105</v>
      </c>
      <c r="D33" s="2" t="s">
        <v>106</v>
      </c>
      <c r="E33" s="7">
        <v>10</v>
      </c>
      <c r="F33" s="7">
        <v>9</v>
      </c>
      <c r="G33" s="2">
        <f t="shared" ref="G33:G39" si="2">E33*F33</f>
        <v>90</v>
      </c>
      <c r="H33" s="7">
        <v>40</v>
      </c>
      <c r="I33" s="9">
        <f ca="1">TODAY()+7</f>
        <v>46087</v>
      </c>
      <c r="J33" s="2" t="s">
        <v>107</v>
      </c>
    </row>
    <row r="34" spans="1:13" ht="15" customHeight="1" x14ac:dyDescent="0.35">
      <c r="A34" s="2">
        <v>2</v>
      </c>
      <c r="B34" s="2" t="s">
        <v>71</v>
      </c>
      <c r="C34" s="2" t="s">
        <v>108</v>
      </c>
      <c r="D34" s="2" t="s">
        <v>106</v>
      </c>
      <c r="E34" s="7">
        <v>9</v>
      </c>
      <c r="F34" s="7">
        <v>8</v>
      </c>
      <c r="G34" s="2">
        <f t="shared" si="2"/>
        <v>72</v>
      </c>
      <c r="H34" s="7">
        <v>16</v>
      </c>
      <c r="I34" s="9">
        <f ca="1">TODAY()+14</f>
        <v>46094</v>
      </c>
      <c r="J34" s="2" t="s">
        <v>109</v>
      </c>
    </row>
    <row r="35" spans="1:13" ht="15" customHeight="1" x14ac:dyDescent="0.35">
      <c r="A35" s="2">
        <v>3</v>
      </c>
      <c r="B35" s="2" t="s">
        <v>80</v>
      </c>
      <c r="C35" s="2" t="s">
        <v>110</v>
      </c>
      <c r="D35" s="2" t="s">
        <v>106</v>
      </c>
      <c r="E35" s="7">
        <v>8</v>
      </c>
      <c r="F35" s="7">
        <v>7</v>
      </c>
      <c r="G35" s="2">
        <f t="shared" si="2"/>
        <v>56</v>
      </c>
      <c r="H35" s="7">
        <v>24</v>
      </c>
      <c r="I35" s="9">
        <f ca="1">TODAY()+30</f>
        <v>46110</v>
      </c>
      <c r="J35" s="2" t="s">
        <v>109</v>
      </c>
    </row>
    <row r="36" spans="1:13" ht="15" customHeight="1" x14ac:dyDescent="0.35">
      <c r="A36" s="2">
        <v>4</v>
      </c>
      <c r="B36" s="2" t="s">
        <v>74</v>
      </c>
      <c r="C36" s="2" t="s">
        <v>111</v>
      </c>
      <c r="D36" s="2" t="s">
        <v>106</v>
      </c>
      <c r="E36" s="7">
        <v>7</v>
      </c>
      <c r="F36" s="7">
        <v>6</v>
      </c>
      <c r="G36" s="2">
        <f t="shared" si="2"/>
        <v>42</v>
      </c>
      <c r="H36" s="7">
        <v>2</v>
      </c>
      <c r="I36" s="9">
        <f ca="1">TODAY()+1</f>
        <v>46081</v>
      </c>
      <c r="J36" s="2" t="s">
        <v>109</v>
      </c>
    </row>
    <row r="37" spans="1:13" ht="15" customHeight="1" x14ac:dyDescent="0.35">
      <c r="A37" s="2">
        <v>5</v>
      </c>
      <c r="B37" s="2" t="s">
        <v>83</v>
      </c>
      <c r="C37" s="2" t="s">
        <v>112</v>
      </c>
      <c r="D37" s="2" t="s">
        <v>113</v>
      </c>
      <c r="E37" s="7">
        <v>3</v>
      </c>
      <c r="F37" s="7">
        <v>9</v>
      </c>
      <c r="G37" s="2">
        <f t="shared" si="2"/>
        <v>27</v>
      </c>
      <c r="H37" s="7">
        <v>4</v>
      </c>
      <c r="I37" s="9">
        <f ca="1">TODAY()+3</f>
        <v>46083</v>
      </c>
      <c r="J37" s="2" t="s">
        <v>109</v>
      </c>
    </row>
    <row r="38" spans="1:13" ht="15" customHeight="1" x14ac:dyDescent="0.35">
      <c r="A38" s="2">
        <v>6</v>
      </c>
      <c r="B38" s="2" t="s">
        <v>86</v>
      </c>
      <c r="C38" s="2" t="s">
        <v>114</v>
      </c>
      <c r="D38" s="2" t="s">
        <v>113</v>
      </c>
      <c r="E38" s="7">
        <v>4</v>
      </c>
      <c r="F38" s="7">
        <v>5</v>
      </c>
      <c r="G38" s="2">
        <f t="shared" si="2"/>
        <v>20</v>
      </c>
      <c r="H38" s="7">
        <v>12</v>
      </c>
      <c r="I38" s="9">
        <f ca="1">TODAY()+21</f>
        <v>46101</v>
      </c>
      <c r="J38" s="2" t="s">
        <v>109</v>
      </c>
    </row>
    <row r="39" spans="1:13" ht="15" customHeight="1" x14ac:dyDescent="0.35">
      <c r="A39" s="2">
        <v>7</v>
      </c>
      <c r="B39" s="2" t="s">
        <v>77</v>
      </c>
      <c r="C39" s="2" t="s">
        <v>115</v>
      </c>
      <c r="D39" s="2" t="s">
        <v>106</v>
      </c>
      <c r="E39" s="7">
        <v>6</v>
      </c>
      <c r="F39" s="7">
        <v>5</v>
      </c>
      <c r="G39" s="2">
        <f t="shared" si="2"/>
        <v>30</v>
      </c>
      <c r="H39" s="7">
        <v>8</v>
      </c>
      <c r="I39" s="9">
        <f ca="1">TODAY()+10</f>
        <v>46090</v>
      </c>
      <c r="J39" s="2" t="s">
        <v>109</v>
      </c>
    </row>
    <row r="41" spans="1:13" ht="15" customHeight="1" x14ac:dyDescent="0.35">
      <c r="A41" s="38" t="s">
        <v>116</v>
      </c>
      <c r="B41" s="38"/>
      <c r="C41" s="38"/>
      <c r="D41" s="38"/>
      <c r="E41" s="38"/>
      <c r="F41" s="38"/>
      <c r="G41" s="38"/>
      <c r="H41" s="38"/>
      <c r="I41" s="38"/>
      <c r="J41" s="38"/>
      <c r="K41" s="38"/>
      <c r="L41" s="38"/>
      <c r="M41" s="38"/>
    </row>
    <row r="42" spans="1:13" ht="39" customHeight="1" x14ac:dyDescent="0.35">
      <c r="A42" s="6" t="s">
        <v>117</v>
      </c>
      <c r="B42" s="6" t="s">
        <v>118</v>
      </c>
      <c r="C42" s="6" t="s">
        <v>119</v>
      </c>
      <c r="D42" s="6" t="s">
        <v>120</v>
      </c>
      <c r="E42" s="6" t="s">
        <v>121</v>
      </c>
    </row>
    <row r="43" spans="1:13" ht="57" customHeight="1" x14ac:dyDescent="0.35">
      <c r="A43" s="2" t="s">
        <v>122</v>
      </c>
      <c r="B43" s="7">
        <v>56</v>
      </c>
      <c r="C43" s="8">
        <f t="shared" ref="C43:C48" si="3">B43/168</f>
        <v>0.33333333333333331</v>
      </c>
      <c r="D43" s="8">
        <v>33</v>
      </c>
      <c r="E43" s="8">
        <f t="shared" ref="E43:E48" si="4">C43-D43</f>
        <v>-32.666666666666664</v>
      </c>
    </row>
    <row r="44" spans="1:13" ht="45.75" customHeight="1" x14ac:dyDescent="0.35">
      <c r="A44" s="2" t="s">
        <v>123</v>
      </c>
      <c r="B44" s="7">
        <v>50</v>
      </c>
      <c r="C44" s="8">
        <f t="shared" si="3"/>
        <v>0.29761904761904762</v>
      </c>
      <c r="D44" s="8">
        <v>30</v>
      </c>
      <c r="E44" s="8">
        <f t="shared" si="4"/>
        <v>-29.702380952380953</v>
      </c>
    </row>
    <row r="45" spans="1:13" ht="45.75" customHeight="1" x14ac:dyDescent="0.35">
      <c r="A45" s="2" t="s">
        <v>124</v>
      </c>
      <c r="B45" s="7">
        <v>15</v>
      </c>
      <c r="C45" s="8">
        <f t="shared" si="3"/>
        <v>8.9285714285714288E-2</v>
      </c>
      <c r="D45" s="8">
        <v>9</v>
      </c>
      <c r="E45" s="8">
        <f t="shared" si="4"/>
        <v>-8.9107142857142865</v>
      </c>
    </row>
    <row r="46" spans="1:13" ht="57" customHeight="1" x14ac:dyDescent="0.35">
      <c r="A46" s="2" t="s">
        <v>125</v>
      </c>
      <c r="B46" s="7">
        <v>10</v>
      </c>
      <c r="C46" s="8">
        <f t="shared" si="3"/>
        <v>5.9523809523809521E-2</v>
      </c>
      <c r="D46" s="8">
        <v>6</v>
      </c>
      <c r="E46" s="8">
        <f t="shared" si="4"/>
        <v>-5.9404761904761907</v>
      </c>
    </row>
    <row r="47" spans="1:13" ht="45.75" customHeight="1" x14ac:dyDescent="0.35">
      <c r="A47" s="2" t="s">
        <v>126</v>
      </c>
      <c r="B47" s="7">
        <v>20</v>
      </c>
      <c r="C47" s="8">
        <f t="shared" si="3"/>
        <v>0.11904761904761904</v>
      </c>
      <c r="D47" s="8">
        <v>12</v>
      </c>
      <c r="E47" s="8">
        <f t="shared" si="4"/>
        <v>-11.880952380952381</v>
      </c>
    </row>
    <row r="48" spans="1:13" ht="45.75" customHeight="1" x14ac:dyDescent="0.35">
      <c r="A48" s="2" t="s">
        <v>127</v>
      </c>
      <c r="B48" s="7">
        <v>17</v>
      </c>
      <c r="C48" s="8">
        <f t="shared" si="3"/>
        <v>0.10119047619047619</v>
      </c>
      <c r="D48" s="8">
        <v>10</v>
      </c>
      <c r="E48" s="8">
        <f t="shared" si="4"/>
        <v>-9.8988095238095237</v>
      </c>
    </row>
  </sheetData>
  <mergeCells count="8">
    <mergeCell ref="A24:M24"/>
    <mergeCell ref="A31:M31"/>
    <mergeCell ref="A41:M41"/>
    <mergeCell ref="A1:M1"/>
    <mergeCell ref="A2:M2"/>
    <mergeCell ref="A3:M3"/>
    <mergeCell ref="A8:M8"/>
    <mergeCell ref="A15:M15"/>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13"/>
  <sheetViews>
    <sheetView tabSelected="1" topLeftCell="C1" zoomScale="66" zoomScaleNormal="66" workbookViewId="0">
      <pane ySplit="5" topLeftCell="A6" activePane="bottomLeft" state="frozen"/>
      <selection sqref="A1:F1"/>
      <selection pane="bottomLeft" activeCell="C1" sqref="A1:XFD1048576"/>
    </sheetView>
  </sheetViews>
  <sheetFormatPr defaultColWidth="8.6328125" defaultRowHeight="14.5" x14ac:dyDescent="0.35"/>
  <cols>
    <col min="1" max="1" width="20" customWidth="1"/>
    <col min="2" max="2" width="12" customWidth="1"/>
    <col min="3" max="3" width="28" customWidth="1"/>
    <col min="4" max="4" width="35" customWidth="1"/>
    <col min="5" max="7" width="38" customWidth="1"/>
    <col min="8" max="9" width="42" customWidth="1"/>
    <col min="10" max="10" width="15" customWidth="1"/>
    <col min="12" max="12" width="16.453125" customWidth="1"/>
  </cols>
  <sheetData>
    <row r="1" spans="1:86" ht="23.25" customHeight="1" x14ac:dyDescent="0.55000000000000004">
      <c r="A1" s="45" t="s">
        <v>128</v>
      </c>
      <c r="B1" s="45"/>
      <c r="C1" s="45"/>
      <c r="D1" s="45"/>
      <c r="E1" s="45"/>
      <c r="F1" s="45"/>
      <c r="G1" s="45"/>
      <c r="H1" s="45"/>
      <c r="I1" s="45"/>
      <c r="J1" s="45"/>
      <c r="K1" s="45"/>
      <c r="L1" s="45"/>
      <c r="M1" s="10"/>
    </row>
    <row r="2" spans="1:86" s="13" customFormat="1" ht="21" customHeight="1" x14ac:dyDescent="0.5">
      <c r="A2" s="46" t="s">
        <v>129</v>
      </c>
      <c r="B2" s="46"/>
      <c r="C2" s="46"/>
      <c r="D2" s="46"/>
      <c r="E2" s="46"/>
      <c r="F2" s="46"/>
      <c r="G2" s="46"/>
      <c r="H2" s="46"/>
      <c r="I2" s="46"/>
      <c r="J2" s="46"/>
      <c r="K2" s="46" t="s">
        <v>130</v>
      </c>
      <c r="L2" s="46"/>
      <c r="M2" s="11"/>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row>
    <row r="3" spans="1:86" s="14" customFormat="1" ht="21" customHeight="1" x14ac:dyDescent="0.5">
      <c r="A3" s="47" t="s">
        <v>131</v>
      </c>
      <c r="B3" s="47"/>
      <c r="C3" s="48" t="s">
        <v>132</v>
      </c>
      <c r="D3" s="48"/>
      <c r="E3" s="48"/>
      <c r="F3" s="48"/>
      <c r="G3" s="48"/>
      <c r="H3" s="48"/>
      <c r="I3" s="49" t="s">
        <v>133</v>
      </c>
      <c r="J3" s="49"/>
      <c r="M3" s="11"/>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row>
    <row r="4" spans="1:86" s="17" customFormat="1" ht="24.75" customHeight="1" x14ac:dyDescent="0.5">
      <c r="A4" s="42"/>
      <c r="B4" s="42"/>
      <c r="C4" s="43" t="s">
        <v>134</v>
      </c>
      <c r="D4" s="43"/>
      <c r="E4" s="43" t="s">
        <v>135</v>
      </c>
      <c r="F4" s="43"/>
      <c r="G4" s="15"/>
      <c r="H4" s="16"/>
      <c r="I4" s="16"/>
      <c r="J4" s="16"/>
      <c r="K4" s="17" t="s">
        <v>136</v>
      </c>
      <c r="L4" s="17" t="s">
        <v>137</v>
      </c>
      <c r="M4" s="11"/>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row>
    <row r="5" spans="1:86" ht="34.5" customHeight="1" x14ac:dyDescent="0.35">
      <c r="A5" s="18" t="s">
        <v>138</v>
      </c>
      <c r="B5" s="18" t="s">
        <v>67</v>
      </c>
      <c r="C5" s="19" t="s">
        <v>101</v>
      </c>
      <c r="D5" s="19" t="s">
        <v>139</v>
      </c>
      <c r="E5" s="19" t="s">
        <v>140</v>
      </c>
      <c r="F5" s="19" t="s">
        <v>141</v>
      </c>
      <c r="G5" s="44" t="s">
        <v>142</v>
      </c>
      <c r="H5" s="44"/>
      <c r="I5" s="44" t="s">
        <v>143</v>
      </c>
      <c r="J5" s="44"/>
    </row>
    <row r="6" spans="1:86" ht="69.75" customHeight="1" x14ac:dyDescent="0.35">
      <c r="A6" s="20" t="s">
        <v>144</v>
      </c>
      <c r="B6" s="20" t="s">
        <v>145</v>
      </c>
      <c r="C6" s="21" t="s">
        <v>146</v>
      </c>
      <c r="D6" s="21" t="s">
        <v>147</v>
      </c>
      <c r="E6" s="21" t="s">
        <v>148</v>
      </c>
      <c r="F6" s="21" t="s">
        <v>149</v>
      </c>
      <c r="G6" s="21" t="s">
        <v>150</v>
      </c>
      <c r="H6" s="21" t="s">
        <v>151</v>
      </c>
      <c r="I6" s="21" t="s">
        <v>457</v>
      </c>
      <c r="J6" t="s">
        <v>458</v>
      </c>
    </row>
    <row r="7" spans="1:86" ht="84.75" customHeight="1" x14ac:dyDescent="0.35">
      <c r="A7" s="22" t="s">
        <v>152</v>
      </c>
      <c r="B7" s="23" t="s">
        <v>71</v>
      </c>
      <c r="C7" s="23" t="s">
        <v>153</v>
      </c>
      <c r="D7" s="23" t="s">
        <v>154</v>
      </c>
      <c r="E7" s="23" t="s">
        <v>155</v>
      </c>
      <c r="F7" s="23" t="s">
        <v>156</v>
      </c>
      <c r="G7" s="23" t="s">
        <v>157</v>
      </c>
      <c r="H7" s="23" t="s">
        <v>158</v>
      </c>
      <c r="I7" s="23" t="s">
        <v>159</v>
      </c>
      <c r="J7" s="21"/>
    </row>
    <row r="8" spans="1:86" ht="84.75" customHeight="1" x14ac:dyDescent="0.35">
      <c r="A8" s="22" t="s">
        <v>160</v>
      </c>
      <c r="B8" s="23" t="s">
        <v>74</v>
      </c>
      <c r="C8" s="23" t="s">
        <v>161</v>
      </c>
      <c r="D8" s="23" t="s">
        <v>162</v>
      </c>
      <c r="E8" s="23" t="s">
        <v>163</v>
      </c>
      <c r="F8" s="23" t="s">
        <v>164</v>
      </c>
      <c r="G8" s="23" t="s">
        <v>165</v>
      </c>
      <c r="H8" s="23" t="s">
        <v>166</v>
      </c>
      <c r="I8" s="23" t="s">
        <v>167</v>
      </c>
      <c r="J8" s="23"/>
    </row>
    <row r="9" spans="1:86" ht="84.75" customHeight="1" x14ac:dyDescent="0.35">
      <c r="A9" s="22" t="s">
        <v>168</v>
      </c>
      <c r="B9" s="23" t="s">
        <v>77</v>
      </c>
      <c r="C9" s="23" t="s">
        <v>169</v>
      </c>
      <c r="D9" s="23" t="s">
        <v>170</v>
      </c>
      <c r="E9" s="23" t="s">
        <v>171</v>
      </c>
      <c r="F9" s="23" t="s">
        <v>172</v>
      </c>
      <c r="G9" s="23"/>
      <c r="H9" s="23" t="s">
        <v>173</v>
      </c>
      <c r="I9" s="23" t="s">
        <v>174</v>
      </c>
      <c r="J9" s="23"/>
    </row>
    <row r="10" spans="1:86" ht="94.5" customHeight="1" x14ac:dyDescent="0.35">
      <c r="A10" s="22" t="s">
        <v>175</v>
      </c>
      <c r="B10" s="23" t="s">
        <v>80</v>
      </c>
      <c r="C10" s="23" t="s">
        <v>176</v>
      </c>
      <c r="D10" s="23" t="s">
        <v>177</v>
      </c>
      <c r="E10" s="23" t="s">
        <v>178</v>
      </c>
      <c r="F10" s="23" t="s">
        <v>179</v>
      </c>
      <c r="G10" s="23"/>
      <c r="H10" s="23" t="s">
        <v>180</v>
      </c>
      <c r="I10" s="23" t="s">
        <v>181</v>
      </c>
      <c r="J10" s="23" t="s">
        <v>182</v>
      </c>
    </row>
    <row r="11" spans="1:86" ht="84.75" customHeight="1" x14ac:dyDescent="0.35">
      <c r="A11" s="22" t="s">
        <v>183</v>
      </c>
      <c r="B11" s="23" t="s">
        <v>184</v>
      </c>
      <c r="C11" s="23" t="s">
        <v>185</v>
      </c>
      <c r="D11" s="23" t="s">
        <v>186</v>
      </c>
      <c r="E11" s="23" t="s">
        <v>187</v>
      </c>
      <c r="F11" s="23" t="s">
        <v>188</v>
      </c>
      <c r="G11" s="23" t="s">
        <v>189</v>
      </c>
      <c r="H11" s="23" t="s">
        <v>190</v>
      </c>
      <c r="I11" s="23" t="s">
        <v>191</v>
      </c>
      <c r="J11" s="23" t="s">
        <v>192</v>
      </c>
    </row>
    <row r="12" spans="1:86" ht="84.75" customHeight="1" x14ac:dyDescent="0.35">
      <c r="A12" s="22" t="s">
        <v>193</v>
      </c>
      <c r="B12" s="23" t="s">
        <v>86</v>
      </c>
      <c r="C12" s="23" t="s">
        <v>194</v>
      </c>
      <c r="D12" s="23" t="s">
        <v>195</v>
      </c>
      <c r="E12" s="23" t="s">
        <v>196</v>
      </c>
      <c r="F12" s="23" t="s">
        <v>197</v>
      </c>
      <c r="G12" s="23"/>
      <c r="H12" s="23" t="s">
        <v>198</v>
      </c>
      <c r="I12" s="23" t="s">
        <v>199</v>
      </c>
      <c r="J12" s="23" t="s">
        <v>200</v>
      </c>
    </row>
    <row r="13" spans="1:86" ht="14.25" customHeight="1" x14ac:dyDescent="0.35">
      <c r="J13" s="24" t="s">
        <v>201</v>
      </c>
    </row>
  </sheetData>
  <mergeCells count="11">
    <mergeCell ref="A1:L1"/>
    <mergeCell ref="A2:J2"/>
    <mergeCell ref="K2:L2"/>
    <mergeCell ref="A3:B3"/>
    <mergeCell ref="C3:H3"/>
    <mergeCell ref="I3:J3"/>
    <mergeCell ref="A4:B4"/>
    <mergeCell ref="C4:D4"/>
    <mergeCell ref="E4:F4"/>
    <mergeCell ref="G5:H5"/>
    <mergeCell ref="I5:J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A7" sqref="A7"/>
    </sheetView>
  </sheetViews>
  <sheetFormatPr defaultColWidth="8.6328125" defaultRowHeight="14.5" x14ac:dyDescent="0.35"/>
  <cols>
    <col min="1" max="1" width="53.90625" customWidth="1"/>
  </cols>
  <sheetData>
    <row r="1" spans="1:1" ht="246" customHeight="1" x14ac:dyDescent="0.35">
      <c r="A1" s="25" t="s">
        <v>202</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4"/>
  <sheetViews>
    <sheetView zoomScaleNormal="100" workbookViewId="0"/>
  </sheetViews>
  <sheetFormatPr defaultColWidth="12" defaultRowHeight="14.5" x14ac:dyDescent="0.35"/>
  <cols>
    <col min="1" max="16384" width="12" style="26"/>
  </cols>
  <sheetData>
    <row r="1" spans="1:13" ht="14.25" customHeight="1" x14ac:dyDescent="0.35">
      <c r="A1" s="37" t="s">
        <v>203</v>
      </c>
      <c r="B1" s="37"/>
      <c r="C1" s="37"/>
      <c r="D1" s="37"/>
      <c r="E1" s="37"/>
      <c r="F1" s="37"/>
      <c r="G1" s="37"/>
      <c r="H1" s="37"/>
      <c r="I1" s="37"/>
      <c r="J1" s="37"/>
      <c r="K1" s="37"/>
      <c r="L1" s="37"/>
      <c r="M1" s="37"/>
    </row>
    <row r="3" spans="1:13" ht="14.25" customHeight="1" x14ac:dyDescent="0.3">
      <c r="A3" s="50" t="s">
        <v>204</v>
      </c>
      <c r="B3" s="50"/>
      <c r="C3" s="50"/>
      <c r="D3" s="50"/>
      <c r="E3" s="50"/>
      <c r="F3" s="50"/>
      <c r="G3" s="50"/>
      <c r="H3" s="50"/>
      <c r="I3" s="50"/>
      <c r="J3" s="50"/>
      <c r="K3" s="50"/>
      <c r="L3" s="50"/>
      <c r="M3" s="50"/>
    </row>
    <row r="5" spans="1:13" ht="14.25" customHeight="1" x14ac:dyDescent="0.35">
      <c r="A5" s="41" t="s">
        <v>205</v>
      </c>
      <c r="B5" s="41"/>
      <c r="C5" s="41"/>
      <c r="D5" s="41"/>
      <c r="E5" s="41"/>
      <c r="F5" s="41"/>
      <c r="G5" s="41"/>
      <c r="H5" s="41"/>
      <c r="I5" s="41"/>
      <c r="J5" s="41"/>
      <c r="K5" s="41"/>
      <c r="L5" s="41"/>
      <c r="M5" s="41"/>
    </row>
    <row r="6" spans="1:13" ht="26.25" customHeight="1" x14ac:dyDescent="0.35">
      <c r="A6" s="6" t="s">
        <v>67</v>
      </c>
      <c r="B6" s="6" t="s">
        <v>206</v>
      </c>
      <c r="C6" s="6" t="s">
        <v>207</v>
      </c>
      <c r="D6" s="6" t="s">
        <v>208</v>
      </c>
      <c r="E6" s="6" t="s">
        <v>209</v>
      </c>
      <c r="F6" s="6" t="s">
        <v>210</v>
      </c>
      <c r="G6" s="6" t="s">
        <v>61</v>
      </c>
    </row>
    <row r="7" spans="1:13" ht="57" customHeight="1" x14ac:dyDescent="0.35">
      <c r="A7" s="2" t="s">
        <v>71</v>
      </c>
      <c r="B7" s="2" t="s">
        <v>211</v>
      </c>
      <c r="C7" s="2" t="s">
        <v>212</v>
      </c>
      <c r="D7" s="7">
        <v>10</v>
      </c>
      <c r="E7" s="2" t="s">
        <v>213</v>
      </c>
      <c r="F7" s="2" t="s">
        <v>214</v>
      </c>
      <c r="G7" s="2" t="s">
        <v>107</v>
      </c>
    </row>
    <row r="8" spans="1:13" ht="57" customHeight="1" x14ac:dyDescent="0.35">
      <c r="A8" s="2" t="s">
        <v>74</v>
      </c>
      <c r="B8" s="2" t="s">
        <v>215</v>
      </c>
      <c r="C8" s="2" t="s">
        <v>216</v>
      </c>
      <c r="D8" s="7">
        <v>9</v>
      </c>
      <c r="E8" s="2" t="s">
        <v>217</v>
      </c>
      <c r="F8" s="2" t="s">
        <v>218</v>
      </c>
      <c r="G8" s="2" t="s">
        <v>109</v>
      </c>
    </row>
    <row r="9" spans="1:13" ht="57" customHeight="1" x14ac:dyDescent="0.35">
      <c r="A9" s="2" t="s">
        <v>77</v>
      </c>
      <c r="B9" s="2" t="s">
        <v>219</v>
      </c>
      <c r="C9" s="2" t="s">
        <v>220</v>
      </c>
      <c r="D9" s="7">
        <v>7</v>
      </c>
      <c r="E9" s="2" t="s">
        <v>221</v>
      </c>
      <c r="F9" s="2" t="s">
        <v>222</v>
      </c>
      <c r="G9" s="2" t="s">
        <v>109</v>
      </c>
    </row>
    <row r="10" spans="1:13" ht="57" customHeight="1" x14ac:dyDescent="0.35">
      <c r="A10" s="2" t="s">
        <v>80</v>
      </c>
      <c r="B10" s="2" t="s">
        <v>223</v>
      </c>
      <c r="C10" s="2" t="s">
        <v>224</v>
      </c>
      <c r="D10" s="7">
        <v>8</v>
      </c>
      <c r="E10" s="2" t="s">
        <v>225</v>
      </c>
      <c r="F10" s="2" t="s">
        <v>226</v>
      </c>
      <c r="G10" s="2" t="s">
        <v>109</v>
      </c>
    </row>
    <row r="11" spans="1:13" ht="45.75" customHeight="1" x14ac:dyDescent="0.35">
      <c r="A11" s="2" t="s">
        <v>83</v>
      </c>
      <c r="B11" s="2" t="s">
        <v>227</v>
      </c>
      <c r="C11" s="2" t="s">
        <v>228</v>
      </c>
      <c r="D11" s="7">
        <v>10</v>
      </c>
      <c r="E11" s="2" t="s">
        <v>229</v>
      </c>
      <c r="F11" s="2" t="s">
        <v>230</v>
      </c>
      <c r="G11" s="2" t="s">
        <v>107</v>
      </c>
    </row>
    <row r="12" spans="1:13" ht="45.75" customHeight="1" x14ac:dyDescent="0.35">
      <c r="A12" s="2" t="s">
        <v>86</v>
      </c>
      <c r="B12" s="2" t="s">
        <v>231</v>
      </c>
      <c r="C12" s="2" t="s">
        <v>232</v>
      </c>
      <c r="D12" s="7">
        <v>6</v>
      </c>
      <c r="E12" s="2" t="s">
        <v>233</v>
      </c>
      <c r="F12" s="2" t="s">
        <v>234</v>
      </c>
      <c r="G12" s="2" t="s">
        <v>109</v>
      </c>
    </row>
    <row r="14" spans="1:13" ht="14.25" customHeight="1" x14ac:dyDescent="0.35">
      <c r="A14" s="38" t="s">
        <v>235</v>
      </c>
      <c r="B14" s="38"/>
      <c r="C14" s="38"/>
      <c r="D14" s="38"/>
      <c r="E14" s="38"/>
      <c r="F14" s="38"/>
      <c r="G14" s="38"/>
      <c r="H14" s="38"/>
      <c r="I14" s="38"/>
      <c r="J14" s="38"/>
      <c r="K14" s="38"/>
      <c r="L14" s="38"/>
      <c r="M14" s="38"/>
    </row>
    <row r="15" spans="1:13" ht="26.25" customHeight="1" x14ac:dyDescent="0.35">
      <c r="A15" s="6" t="s">
        <v>117</v>
      </c>
      <c r="B15" s="6" t="s">
        <v>236</v>
      </c>
      <c r="C15" s="6" t="s">
        <v>237</v>
      </c>
      <c r="D15" s="6" t="s">
        <v>238</v>
      </c>
      <c r="E15" s="6" t="s">
        <v>62</v>
      </c>
      <c r="F15" s="6" t="s">
        <v>239</v>
      </c>
      <c r="G15" s="6" t="s">
        <v>240</v>
      </c>
    </row>
    <row r="16" spans="1:13" ht="23.25" customHeight="1" x14ac:dyDescent="0.35">
      <c r="A16" s="2" t="s">
        <v>71</v>
      </c>
      <c r="B16" s="2" t="s">
        <v>241</v>
      </c>
      <c r="C16" s="7" t="s">
        <v>242</v>
      </c>
      <c r="D16" s="7" t="s">
        <v>243</v>
      </c>
      <c r="E16" s="2" t="str">
        <f t="shared" ref="E16:E22" si="0">IF(ISNUMBER(C16),IF(ISNUMBER(D16),C16-D16,""),"")</f>
        <v/>
      </c>
      <c r="F16" s="2" t="s">
        <v>244</v>
      </c>
      <c r="G16" s="2" t="s">
        <v>245</v>
      </c>
    </row>
    <row r="17" spans="1:13" ht="23.25" customHeight="1" x14ac:dyDescent="0.35">
      <c r="A17" s="2" t="s">
        <v>71</v>
      </c>
      <c r="B17" s="2" t="s">
        <v>246</v>
      </c>
      <c r="C17" s="7" t="s">
        <v>247</v>
      </c>
      <c r="D17" s="7" t="s">
        <v>243</v>
      </c>
      <c r="E17" s="2" t="str">
        <f t="shared" si="0"/>
        <v/>
      </c>
      <c r="F17" s="2" t="s">
        <v>244</v>
      </c>
      <c r="G17" s="2" t="s">
        <v>248</v>
      </c>
    </row>
    <row r="18" spans="1:13" ht="14.25" customHeight="1" x14ac:dyDescent="0.35">
      <c r="A18" s="2" t="s">
        <v>74</v>
      </c>
      <c r="B18" s="2" t="s">
        <v>249</v>
      </c>
      <c r="C18" s="7" t="s">
        <v>250</v>
      </c>
      <c r="D18" s="7" t="s">
        <v>251</v>
      </c>
      <c r="E18" s="2" t="str">
        <f t="shared" si="0"/>
        <v/>
      </c>
      <c r="F18" s="2" t="s">
        <v>252</v>
      </c>
      <c r="G18" s="2" t="s">
        <v>253</v>
      </c>
    </row>
    <row r="19" spans="1:13" ht="23.25" customHeight="1" x14ac:dyDescent="0.35">
      <c r="A19" s="2" t="s">
        <v>83</v>
      </c>
      <c r="B19" s="2" t="s">
        <v>254</v>
      </c>
      <c r="C19" s="7" t="s">
        <v>255</v>
      </c>
      <c r="D19" s="7" t="s">
        <v>256</v>
      </c>
      <c r="E19" s="2" t="str">
        <f t="shared" si="0"/>
        <v/>
      </c>
      <c r="F19" s="2" t="s">
        <v>257</v>
      </c>
      <c r="G19" s="2" t="s">
        <v>258</v>
      </c>
    </row>
    <row r="20" spans="1:13" ht="23.25" customHeight="1" x14ac:dyDescent="0.35">
      <c r="A20" s="2" t="s">
        <v>83</v>
      </c>
      <c r="B20" s="2" t="s">
        <v>259</v>
      </c>
      <c r="C20" s="7" t="s">
        <v>260</v>
      </c>
      <c r="D20" s="7" t="s">
        <v>243</v>
      </c>
      <c r="E20" s="2" t="str">
        <f t="shared" si="0"/>
        <v/>
      </c>
      <c r="F20" s="2" t="s">
        <v>244</v>
      </c>
      <c r="G20" s="2" t="s">
        <v>261</v>
      </c>
    </row>
    <row r="21" spans="1:13" ht="23.25" customHeight="1" x14ac:dyDescent="0.35">
      <c r="A21" s="2" t="s">
        <v>80</v>
      </c>
      <c r="B21" s="2" t="s">
        <v>262</v>
      </c>
      <c r="C21" s="7" t="s">
        <v>263</v>
      </c>
      <c r="D21" s="7" t="s">
        <v>243</v>
      </c>
      <c r="E21" s="2" t="str">
        <f t="shared" si="0"/>
        <v/>
      </c>
      <c r="F21" s="2" t="s">
        <v>244</v>
      </c>
      <c r="G21" s="2" t="s">
        <v>264</v>
      </c>
    </row>
    <row r="22" spans="1:13" ht="23.25" customHeight="1" x14ac:dyDescent="0.35">
      <c r="A22" s="2" t="s">
        <v>77</v>
      </c>
      <c r="B22" s="2" t="s">
        <v>265</v>
      </c>
      <c r="C22" s="7" t="s">
        <v>266</v>
      </c>
      <c r="D22" s="7" t="s">
        <v>243</v>
      </c>
      <c r="E22" s="2" t="str">
        <f t="shared" si="0"/>
        <v/>
      </c>
      <c r="F22" s="2" t="s">
        <v>252</v>
      </c>
      <c r="G22" s="2" t="s">
        <v>267</v>
      </c>
    </row>
    <row r="24" spans="1:13" ht="14.25" customHeight="1" x14ac:dyDescent="0.35">
      <c r="A24" s="36" t="s">
        <v>268</v>
      </c>
      <c r="B24" s="36"/>
      <c r="C24" s="36"/>
      <c r="D24" s="36"/>
      <c r="E24" s="36"/>
      <c r="F24" s="36"/>
      <c r="G24" s="36"/>
      <c r="H24" s="36"/>
      <c r="I24" s="36"/>
      <c r="J24" s="36"/>
      <c r="K24" s="36"/>
      <c r="L24" s="36"/>
      <c r="M24" s="36"/>
    </row>
    <row r="25" spans="1:13" ht="26.25" customHeight="1" x14ac:dyDescent="0.35">
      <c r="A25" s="6" t="s">
        <v>67</v>
      </c>
      <c r="B25" s="6" t="s">
        <v>269</v>
      </c>
      <c r="C25" s="6" t="s">
        <v>270</v>
      </c>
    </row>
    <row r="26" spans="1:13" ht="68.25" customHeight="1" x14ac:dyDescent="0.35">
      <c r="A26" s="2" t="s">
        <v>271</v>
      </c>
      <c r="B26" s="2" t="s">
        <v>272</v>
      </c>
      <c r="C26" s="2" t="s">
        <v>273</v>
      </c>
    </row>
    <row r="27" spans="1:13" ht="68.25" customHeight="1" x14ac:dyDescent="0.35">
      <c r="A27" s="2" t="s">
        <v>271</v>
      </c>
      <c r="B27" s="2" t="s">
        <v>274</v>
      </c>
      <c r="C27" s="2" t="s">
        <v>275</v>
      </c>
    </row>
    <row r="28" spans="1:13" ht="57" customHeight="1" x14ac:dyDescent="0.35">
      <c r="A28" s="2" t="s">
        <v>271</v>
      </c>
      <c r="B28" s="2" t="s">
        <v>276</v>
      </c>
      <c r="C28" s="2" t="s">
        <v>277</v>
      </c>
    </row>
    <row r="29" spans="1:13" ht="57" customHeight="1" x14ac:dyDescent="0.35">
      <c r="A29" s="2" t="s">
        <v>71</v>
      </c>
      <c r="B29" s="2" t="s">
        <v>278</v>
      </c>
      <c r="C29" s="2" t="s">
        <v>279</v>
      </c>
    </row>
    <row r="30" spans="1:13" ht="57" customHeight="1" x14ac:dyDescent="0.35">
      <c r="A30" s="2" t="s">
        <v>74</v>
      </c>
      <c r="B30" s="2" t="s">
        <v>280</v>
      </c>
      <c r="C30" s="2" t="s">
        <v>281</v>
      </c>
    </row>
    <row r="31" spans="1:13" ht="68.25" customHeight="1" x14ac:dyDescent="0.35">
      <c r="A31" s="2" t="s">
        <v>77</v>
      </c>
      <c r="B31" s="2" t="s">
        <v>282</v>
      </c>
      <c r="C31" s="2" t="s">
        <v>283</v>
      </c>
    </row>
    <row r="32" spans="1:13" ht="45.75" customHeight="1" x14ac:dyDescent="0.35">
      <c r="A32" s="2" t="s">
        <v>80</v>
      </c>
      <c r="B32" s="2" t="s">
        <v>284</v>
      </c>
      <c r="C32" s="2" t="s">
        <v>285</v>
      </c>
    </row>
    <row r="33" spans="1:3" ht="57" customHeight="1" x14ac:dyDescent="0.35">
      <c r="A33" s="2" t="s">
        <v>83</v>
      </c>
      <c r="B33" s="2" t="s">
        <v>286</v>
      </c>
      <c r="C33" s="2" t="s">
        <v>287</v>
      </c>
    </row>
    <row r="34" spans="1:3" ht="57" customHeight="1" x14ac:dyDescent="0.35">
      <c r="A34" s="2" t="s">
        <v>86</v>
      </c>
      <c r="B34" s="2" t="s">
        <v>288</v>
      </c>
      <c r="C34" s="2" t="s">
        <v>289</v>
      </c>
    </row>
  </sheetData>
  <mergeCells count="5">
    <mergeCell ref="A1:M1"/>
    <mergeCell ref="A3:M3"/>
    <mergeCell ref="A5:M5"/>
    <mergeCell ref="A14:M14"/>
    <mergeCell ref="A24:M2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4"/>
  <sheetViews>
    <sheetView zoomScaleNormal="100" workbookViewId="0"/>
  </sheetViews>
  <sheetFormatPr defaultColWidth="8.6328125" defaultRowHeight="14.5" x14ac:dyDescent="0.35"/>
  <cols>
    <col min="1" max="1" width="8" customWidth="1"/>
    <col min="2" max="2" width="25" customWidth="1"/>
    <col min="3" max="3" width="12" customWidth="1"/>
    <col min="4" max="4" width="10" customWidth="1"/>
    <col min="5" max="6" width="8" customWidth="1"/>
    <col min="7" max="8" width="10" customWidth="1"/>
    <col min="9" max="11" width="12" customWidth="1"/>
    <col min="12" max="12" width="15" customWidth="1"/>
    <col min="13" max="13" width="12" customWidth="1"/>
    <col min="14" max="14" width="35" customWidth="1"/>
  </cols>
  <sheetData>
    <row r="1" spans="1:14" ht="14.25" customHeight="1" x14ac:dyDescent="0.35">
      <c r="A1" s="37" t="s">
        <v>290</v>
      </c>
      <c r="B1" s="37"/>
      <c r="C1" s="37"/>
      <c r="D1" s="37"/>
      <c r="E1" s="37"/>
      <c r="F1" s="37"/>
      <c r="G1" s="37"/>
      <c r="H1" s="37"/>
      <c r="I1" s="37"/>
      <c r="J1" s="37"/>
      <c r="K1" s="37"/>
      <c r="L1" s="37"/>
      <c r="M1" s="37"/>
      <c r="N1" s="37"/>
    </row>
    <row r="3" spans="1:14" ht="14.25" customHeight="1" x14ac:dyDescent="0.35">
      <c r="A3" s="50" t="s">
        <v>291</v>
      </c>
      <c r="B3" s="50"/>
      <c r="C3" s="50"/>
      <c r="D3" s="50"/>
      <c r="E3" s="50"/>
      <c r="F3" s="50"/>
      <c r="G3" s="50"/>
      <c r="H3" s="50"/>
      <c r="I3" s="50"/>
      <c r="J3" s="50"/>
      <c r="K3" s="50"/>
      <c r="L3" s="50"/>
      <c r="M3" s="50"/>
      <c r="N3" s="50"/>
    </row>
    <row r="5" spans="1:14" ht="14.25" customHeight="1" x14ac:dyDescent="0.35">
      <c r="A5" s="41" t="s">
        <v>292</v>
      </c>
      <c r="B5" s="41"/>
      <c r="C5" s="41"/>
      <c r="D5" s="41"/>
      <c r="E5" s="41"/>
      <c r="F5" s="41"/>
      <c r="G5" s="41"/>
      <c r="H5" s="41"/>
      <c r="I5" s="41"/>
      <c r="J5" s="41"/>
      <c r="K5" s="41"/>
      <c r="L5" s="41"/>
      <c r="M5" s="41"/>
      <c r="N5" s="41"/>
    </row>
    <row r="6" spans="1:14" ht="26.25" customHeight="1" x14ac:dyDescent="0.35">
      <c r="A6" s="6" t="s">
        <v>293</v>
      </c>
      <c r="B6" s="6" t="s">
        <v>294</v>
      </c>
      <c r="C6" s="6" t="s">
        <v>67</v>
      </c>
      <c r="D6" s="6" t="s">
        <v>100</v>
      </c>
      <c r="E6" s="6" t="s">
        <v>101</v>
      </c>
      <c r="F6" s="6" t="s">
        <v>102</v>
      </c>
      <c r="G6" s="6" t="s">
        <v>295</v>
      </c>
      <c r="H6" s="6" t="s">
        <v>239</v>
      </c>
      <c r="I6" s="6" t="s">
        <v>103</v>
      </c>
      <c r="J6" s="6" t="s">
        <v>296</v>
      </c>
      <c r="K6" s="6" t="s">
        <v>104</v>
      </c>
      <c r="L6" s="6" t="s">
        <v>61</v>
      </c>
      <c r="M6" s="6" t="s">
        <v>297</v>
      </c>
      <c r="N6" s="6" t="s">
        <v>298</v>
      </c>
    </row>
    <row r="7" spans="1:14" ht="14.25" customHeight="1" x14ac:dyDescent="0.35">
      <c r="A7" s="2" t="s">
        <v>299</v>
      </c>
      <c r="B7" s="2" t="s">
        <v>105</v>
      </c>
      <c r="C7" s="2" t="s">
        <v>83</v>
      </c>
      <c r="D7" s="2" t="s">
        <v>106</v>
      </c>
      <c r="E7" s="7">
        <v>10</v>
      </c>
      <c r="F7" s="7">
        <v>9</v>
      </c>
      <c r="G7" s="7">
        <v>0.1</v>
      </c>
      <c r="H7" s="2">
        <f t="shared" ref="H7:H16" si="0">E7*F7*G7</f>
        <v>9</v>
      </c>
      <c r="I7" s="7">
        <v>40</v>
      </c>
      <c r="J7" s="7">
        <v>15</v>
      </c>
      <c r="K7" s="9">
        <f ca="1">TODAY()+7</f>
        <v>46087</v>
      </c>
      <c r="L7" s="2" t="s">
        <v>107</v>
      </c>
      <c r="M7" s="8">
        <v>0.35</v>
      </c>
      <c r="N7" s="2" t="s">
        <v>300</v>
      </c>
    </row>
    <row r="8" spans="1:14" ht="14.25" customHeight="1" x14ac:dyDescent="0.35">
      <c r="A8" s="2" t="s">
        <v>301</v>
      </c>
      <c r="B8" s="2" t="s">
        <v>108</v>
      </c>
      <c r="C8" s="2" t="s">
        <v>71</v>
      </c>
      <c r="D8" s="2" t="s">
        <v>106</v>
      </c>
      <c r="E8" s="7">
        <v>9</v>
      </c>
      <c r="F8" s="7">
        <v>8</v>
      </c>
      <c r="G8" s="7">
        <v>0.2</v>
      </c>
      <c r="H8" s="2">
        <f t="shared" si="0"/>
        <v>14.4</v>
      </c>
      <c r="I8" s="7">
        <v>16</v>
      </c>
      <c r="J8" s="7">
        <v>0</v>
      </c>
      <c r="K8" s="9">
        <f ca="1">TODAY()+14</f>
        <v>46094</v>
      </c>
      <c r="L8" s="2" t="s">
        <v>109</v>
      </c>
      <c r="M8" s="8">
        <v>0</v>
      </c>
      <c r="N8" s="2" t="s">
        <v>302</v>
      </c>
    </row>
    <row r="9" spans="1:14" ht="14.25" customHeight="1" x14ac:dyDescent="0.35">
      <c r="A9" s="2" t="s">
        <v>303</v>
      </c>
      <c r="B9" s="2" t="s">
        <v>110</v>
      </c>
      <c r="C9" s="2" t="s">
        <v>80</v>
      </c>
      <c r="D9" s="2" t="s">
        <v>106</v>
      </c>
      <c r="E9" s="7">
        <v>8</v>
      </c>
      <c r="F9" s="7">
        <v>7</v>
      </c>
      <c r="G9" s="7">
        <v>0.3</v>
      </c>
      <c r="H9" s="2">
        <f t="shared" si="0"/>
        <v>16.8</v>
      </c>
      <c r="I9" s="7">
        <v>24</v>
      </c>
      <c r="J9" s="7">
        <v>0</v>
      </c>
      <c r="K9" s="9">
        <f ca="1">TODAY()+30</f>
        <v>46110</v>
      </c>
      <c r="L9" s="2" t="s">
        <v>109</v>
      </c>
      <c r="M9" s="8">
        <v>0</v>
      </c>
      <c r="N9" s="2" t="s">
        <v>304</v>
      </c>
    </row>
    <row r="10" spans="1:14" ht="14.25" customHeight="1" x14ac:dyDescent="0.35">
      <c r="A10" s="2" t="s">
        <v>305</v>
      </c>
      <c r="B10" s="2" t="s">
        <v>111</v>
      </c>
      <c r="C10" s="2" t="s">
        <v>74</v>
      </c>
      <c r="D10" s="2" t="s">
        <v>106</v>
      </c>
      <c r="E10" s="7">
        <v>7</v>
      </c>
      <c r="F10" s="7">
        <v>6</v>
      </c>
      <c r="G10" s="7">
        <v>0.5</v>
      </c>
      <c r="H10" s="2">
        <f t="shared" si="0"/>
        <v>21</v>
      </c>
      <c r="I10" s="7">
        <v>2</v>
      </c>
      <c r="J10" s="7">
        <v>0</v>
      </c>
      <c r="K10" s="9">
        <f ca="1">TODAY()+1</f>
        <v>46081</v>
      </c>
      <c r="L10" s="2" t="s">
        <v>109</v>
      </c>
      <c r="M10" s="8">
        <v>0</v>
      </c>
      <c r="N10" s="2" t="s">
        <v>306</v>
      </c>
    </row>
    <row r="11" spans="1:14" ht="14.25" customHeight="1" x14ac:dyDescent="0.35">
      <c r="A11" s="2" t="s">
        <v>307</v>
      </c>
      <c r="B11" s="2" t="s">
        <v>308</v>
      </c>
      <c r="C11" s="2" t="s">
        <v>83</v>
      </c>
      <c r="D11" s="2" t="s">
        <v>113</v>
      </c>
      <c r="E11" s="7">
        <v>3</v>
      </c>
      <c r="F11" s="7">
        <v>9</v>
      </c>
      <c r="G11" s="7">
        <v>5</v>
      </c>
      <c r="H11" s="2">
        <f t="shared" si="0"/>
        <v>135</v>
      </c>
      <c r="I11" s="7">
        <v>4</v>
      </c>
      <c r="J11" s="7">
        <v>0</v>
      </c>
      <c r="K11" s="9">
        <f ca="1">TODAY()+3</f>
        <v>46083</v>
      </c>
      <c r="L11" s="2" t="s">
        <v>109</v>
      </c>
      <c r="M11" s="8">
        <v>0</v>
      </c>
      <c r="N11" s="2" t="s">
        <v>309</v>
      </c>
    </row>
    <row r="12" spans="1:14" ht="14.25" customHeight="1" x14ac:dyDescent="0.35">
      <c r="A12" s="2" t="s">
        <v>310</v>
      </c>
      <c r="B12" s="2" t="s">
        <v>311</v>
      </c>
      <c r="C12" s="2" t="s">
        <v>86</v>
      </c>
      <c r="D12" s="2" t="s">
        <v>113</v>
      </c>
      <c r="E12" s="7">
        <v>4</v>
      </c>
      <c r="F12" s="7">
        <v>5</v>
      </c>
      <c r="G12" s="7">
        <v>3</v>
      </c>
      <c r="H12" s="2">
        <f t="shared" si="0"/>
        <v>60</v>
      </c>
      <c r="I12" s="7">
        <v>12</v>
      </c>
      <c r="J12" s="7">
        <v>0</v>
      </c>
      <c r="K12" s="9">
        <f ca="1">TODAY()+21</f>
        <v>46101</v>
      </c>
      <c r="L12" s="2" t="s">
        <v>109</v>
      </c>
      <c r="M12" s="8">
        <v>0</v>
      </c>
      <c r="N12" s="2" t="s">
        <v>312</v>
      </c>
    </row>
    <row r="13" spans="1:14" ht="14.25" customHeight="1" x14ac:dyDescent="0.35">
      <c r="A13" s="2" t="s">
        <v>313</v>
      </c>
      <c r="B13" s="2" t="s">
        <v>314</v>
      </c>
      <c r="C13" s="2" t="s">
        <v>77</v>
      </c>
      <c r="D13" s="2" t="s">
        <v>106</v>
      </c>
      <c r="E13" s="7">
        <v>6</v>
      </c>
      <c r="F13" s="7">
        <v>5</v>
      </c>
      <c r="G13" s="7">
        <v>0.4</v>
      </c>
      <c r="H13" s="2">
        <f t="shared" si="0"/>
        <v>12</v>
      </c>
      <c r="I13" s="7">
        <v>8</v>
      </c>
      <c r="J13" s="7">
        <v>0</v>
      </c>
      <c r="K13" s="9">
        <f ca="1">TODAY()+10</f>
        <v>46090</v>
      </c>
      <c r="L13" s="2" t="s">
        <v>109</v>
      </c>
      <c r="M13" s="8">
        <v>0</v>
      </c>
      <c r="N13" s="2" t="s">
        <v>315</v>
      </c>
    </row>
    <row r="14" spans="1:14" ht="14.25" customHeight="1" x14ac:dyDescent="0.35">
      <c r="A14" s="2" t="s">
        <v>316</v>
      </c>
      <c r="B14" s="2" t="s">
        <v>317</v>
      </c>
      <c r="C14" s="2" t="s">
        <v>71</v>
      </c>
      <c r="D14" s="2" t="s">
        <v>106</v>
      </c>
      <c r="E14" s="7">
        <v>9</v>
      </c>
      <c r="F14" s="7">
        <v>7</v>
      </c>
      <c r="G14" s="7">
        <v>0.2</v>
      </c>
      <c r="H14" s="2">
        <f t="shared" si="0"/>
        <v>12.600000000000001</v>
      </c>
      <c r="I14" s="7">
        <v>20</v>
      </c>
      <c r="J14" s="7">
        <v>0</v>
      </c>
      <c r="K14" s="9">
        <f ca="1">TODAY()+60</f>
        <v>46140</v>
      </c>
      <c r="L14" s="2" t="s">
        <v>109</v>
      </c>
      <c r="M14" s="8">
        <v>0</v>
      </c>
      <c r="N14" s="2" t="s">
        <v>318</v>
      </c>
    </row>
    <row r="15" spans="1:14" ht="14.25" customHeight="1" x14ac:dyDescent="0.35">
      <c r="A15" s="2" t="s">
        <v>319</v>
      </c>
      <c r="B15" s="2" t="s">
        <v>320</v>
      </c>
      <c r="C15" s="2" t="s">
        <v>83</v>
      </c>
      <c r="D15" s="2" t="s">
        <v>113</v>
      </c>
      <c r="E15" s="7">
        <v>5</v>
      </c>
      <c r="F15" s="7">
        <v>4</v>
      </c>
      <c r="G15" s="7">
        <v>4</v>
      </c>
      <c r="H15" s="2">
        <f t="shared" si="0"/>
        <v>80</v>
      </c>
      <c r="I15" s="7">
        <v>200</v>
      </c>
      <c r="J15" s="7">
        <v>10</v>
      </c>
      <c r="K15" s="9">
        <f ca="1">TODAY()+180</f>
        <v>46260</v>
      </c>
      <c r="L15" s="2" t="s">
        <v>107</v>
      </c>
      <c r="M15" s="8">
        <v>0.05</v>
      </c>
      <c r="N15" s="2" t="s">
        <v>321</v>
      </c>
    </row>
    <row r="16" spans="1:14" ht="14.25" customHeight="1" x14ac:dyDescent="0.35">
      <c r="A16" s="2" t="s">
        <v>322</v>
      </c>
      <c r="B16" s="2" t="s">
        <v>323</v>
      </c>
      <c r="C16" s="2" t="s">
        <v>83</v>
      </c>
      <c r="D16" s="2" t="s">
        <v>106</v>
      </c>
      <c r="E16" s="7">
        <v>10</v>
      </c>
      <c r="F16" s="7">
        <v>8</v>
      </c>
      <c r="G16" s="7">
        <v>0.1</v>
      </c>
      <c r="H16" s="2">
        <f t="shared" si="0"/>
        <v>8</v>
      </c>
      <c r="I16" s="7">
        <v>4</v>
      </c>
      <c r="J16" s="7">
        <v>0</v>
      </c>
      <c r="K16" s="9">
        <f ca="1">TODAY()+5</f>
        <v>46085</v>
      </c>
      <c r="L16" s="2" t="s">
        <v>109</v>
      </c>
      <c r="M16" s="8">
        <v>0</v>
      </c>
      <c r="N16" s="2" t="s">
        <v>324</v>
      </c>
    </row>
    <row r="18" spans="1:14" ht="14.25" customHeight="1" x14ac:dyDescent="0.35">
      <c r="A18" s="38" t="s">
        <v>325</v>
      </c>
      <c r="B18" s="38"/>
      <c r="C18" s="38"/>
      <c r="D18" s="38"/>
      <c r="E18" s="38"/>
      <c r="F18" s="38"/>
      <c r="G18" s="38"/>
      <c r="H18" s="38"/>
      <c r="I18" s="38"/>
      <c r="J18" s="38"/>
      <c r="K18" s="38"/>
      <c r="L18" s="38"/>
      <c r="M18" s="38"/>
      <c r="N18" s="38"/>
    </row>
    <row r="19" spans="1:14" ht="26.25" customHeight="1" x14ac:dyDescent="0.35">
      <c r="A19" s="6" t="s">
        <v>326</v>
      </c>
      <c r="B19" s="6" t="s">
        <v>327</v>
      </c>
      <c r="C19" s="6" t="s">
        <v>328</v>
      </c>
      <c r="D19" s="6" t="s">
        <v>329</v>
      </c>
      <c r="E19" s="6" t="s">
        <v>330</v>
      </c>
      <c r="F19" s="6" t="s">
        <v>61</v>
      </c>
      <c r="G19" s="6" t="s">
        <v>331</v>
      </c>
    </row>
    <row r="20" spans="1:14" ht="34.5" customHeight="1" x14ac:dyDescent="0.35">
      <c r="A20" s="2" t="s">
        <v>332</v>
      </c>
      <c r="B20" s="2" t="s">
        <v>333</v>
      </c>
      <c r="C20" s="2" t="s">
        <v>334</v>
      </c>
      <c r="D20" s="7">
        <v>1</v>
      </c>
      <c r="E20" s="9">
        <f ca="1">TODAY()</f>
        <v>46080</v>
      </c>
      <c r="F20" s="2" t="s">
        <v>335</v>
      </c>
      <c r="G20" s="2"/>
    </row>
    <row r="21" spans="1:14" ht="34.5" customHeight="1" x14ac:dyDescent="0.35">
      <c r="A21" s="2" t="s">
        <v>332</v>
      </c>
      <c r="B21" s="2" t="s">
        <v>336</v>
      </c>
      <c r="C21" s="2" t="s">
        <v>334</v>
      </c>
      <c r="D21" s="7">
        <v>8</v>
      </c>
      <c r="E21" s="9">
        <f ca="1">TODAY()+2</f>
        <v>46082</v>
      </c>
      <c r="F21" s="2" t="s">
        <v>107</v>
      </c>
      <c r="G21" s="2"/>
    </row>
    <row r="22" spans="1:14" ht="34.5" customHeight="1" x14ac:dyDescent="0.35">
      <c r="A22" s="2" t="s">
        <v>332</v>
      </c>
      <c r="B22" s="2" t="s">
        <v>337</v>
      </c>
      <c r="C22" s="2" t="s">
        <v>334</v>
      </c>
      <c r="D22" s="7">
        <v>4</v>
      </c>
      <c r="E22" s="9">
        <f ca="1">TODAY()+5</f>
        <v>46085</v>
      </c>
      <c r="F22" s="2" t="s">
        <v>109</v>
      </c>
      <c r="G22" s="2" t="s">
        <v>338</v>
      </c>
    </row>
    <row r="23" spans="1:14" ht="34.5" customHeight="1" x14ac:dyDescent="0.35">
      <c r="A23" s="2" t="s">
        <v>332</v>
      </c>
      <c r="B23" s="2" t="s">
        <v>339</v>
      </c>
      <c r="C23" s="2" t="s">
        <v>334</v>
      </c>
      <c r="D23" s="7">
        <v>2</v>
      </c>
      <c r="E23" s="9">
        <f ca="1">TODAY()+7</f>
        <v>46087</v>
      </c>
      <c r="F23" s="2" t="s">
        <v>109</v>
      </c>
      <c r="G23" s="2"/>
    </row>
    <row r="24" spans="1:14" ht="34.5" customHeight="1" x14ac:dyDescent="0.35">
      <c r="A24" s="2" t="s">
        <v>340</v>
      </c>
      <c r="B24" s="2" t="s">
        <v>341</v>
      </c>
      <c r="C24" s="2" t="s">
        <v>334</v>
      </c>
      <c r="D24" s="7">
        <v>2</v>
      </c>
      <c r="E24" s="9">
        <f ca="1">TODAY()+1</f>
        <v>46081</v>
      </c>
      <c r="F24" s="2" t="s">
        <v>109</v>
      </c>
      <c r="G24" s="2"/>
    </row>
    <row r="25" spans="1:14" ht="34.5" customHeight="1" x14ac:dyDescent="0.35">
      <c r="A25" s="2" t="s">
        <v>340</v>
      </c>
      <c r="B25" s="2" t="s">
        <v>342</v>
      </c>
      <c r="C25" s="2" t="s">
        <v>334</v>
      </c>
      <c r="D25" s="7">
        <v>3</v>
      </c>
      <c r="E25" s="9">
        <f ca="1">TODAY()+5</f>
        <v>46085</v>
      </c>
      <c r="F25" s="2" t="s">
        <v>109</v>
      </c>
      <c r="G25" s="2"/>
    </row>
    <row r="26" spans="1:14" ht="34.5" customHeight="1" x14ac:dyDescent="0.35">
      <c r="A26" s="2" t="s">
        <v>340</v>
      </c>
      <c r="B26" s="2" t="s">
        <v>343</v>
      </c>
      <c r="C26" s="2" t="s">
        <v>334</v>
      </c>
      <c r="D26" s="7">
        <v>8</v>
      </c>
      <c r="E26" s="9">
        <f ca="1">TODAY()+10</f>
        <v>46090</v>
      </c>
      <c r="F26" s="2" t="s">
        <v>109</v>
      </c>
      <c r="G26" s="2"/>
    </row>
    <row r="27" spans="1:14" ht="34.5" customHeight="1" x14ac:dyDescent="0.35">
      <c r="A27" s="2" t="s">
        <v>340</v>
      </c>
      <c r="B27" s="2" t="s">
        <v>344</v>
      </c>
      <c r="C27" s="2" t="s">
        <v>334</v>
      </c>
      <c r="D27" s="7">
        <v>1</v>
      </c>
      <c r="E27" s="9">
        <f ca="1">TODAY()+11</f>
        <v>46091</v>
      </c>
      <c r="F27" s="2" t="s">
        <v>109</v>
      </c>
      <c r="G27" s="2"/>
    </row>
    <row r="29" spans="1:14" ht="14.25" customHeight="1" x14ac:dyDescent="0.35">
      <c r="A29" s="36" t="s">
        <v>345</v>
      </c>
      <c r="B29" s="36"/>
      <c r="C29" s="36"/>
      <c r="D29" s="36"/>
      <c r="E29" s="36"/>
      <c r="F29" s="36"/>
      <c r="G29" s="36"/>
      <c r="H29" s="36"/>
      <c r="I29" s="36"/>
      <c r="J29" s="36"/>
      <c r="K29" s="36"/>
      <c r="L29" s="36"/>
      <c r="M29" s="36"/>
      <c r="N29" s="36"/>
    </row>
    <row r="30" spans="1:14" ht="26.25" customHeight="1" x14ac:dyDescent="0.35">
      <c r="A30" s="6" t="s">
        <v>346</v>
      </c>
      <c r="B30" s="6" t="s">
        <v>347</v>
      </c>
      <c r="C30" s="6" t="s">
        <v>348</v>
      </c>
      <c r="D30" s="6" t="s">
        <v>121</v>
      </c>
      <c r="E30" s="6" t="s">
        <v>349</v>
      </c>
    </row>
    <row r="31" spans="1:14" ht="23.25" customHeight="1" x14ac:dyDescent="0.35">
      <c r="A31" s="2" t="s">
        <v>350</v>
      </c>
      <c r="B31" s="7">
        <v>50</v>
      </c>
      <c r="C31" s="7">
        <v>35</v>
      </c>
      <c r="D31" s="2">
        <f>C31-B31</f>
        <v>-15</v>
      </c>
      <c r="E31" s="8">
        <f>B31/C31</f>
        <v>1.4285714285714286</v>
      </c>
    </row>
    <row r="32" spans="1:14" ht="14.25" customHeight="1" x14ac:dyDescent="0.35">
      <c r="A32" s="2" t="s">
        <v>351</v>
      </c>
      <c r="B32" s="7">
        <v>50</v>
      </c>
      <c r="C32" s="7">
        <v>0</v>
      </c>
      <c r="D32" s="2">
        <f>C32-B32</f>
        <v>-50</v>
      </c>
      <c r="E32" s="8" t="str">
        <f>IF(C32&gt;0,B32/C32,"")</f>
        <v/>
      </c>
    </row>
    <row r="33" spans="1:5" ht="14.25" customHeight="1" x14ac:dyDescent="0.35">
      <c r="A33" s="2" t="s">
        <v>352</v>
      </c>
      <c r="B33" s="7">
        <v>50</v>
      </c>
      <c r="C33" s="7">
        <v>0</v>
      </c>
      <c r="D33" s="2">
        <f>C33-B33</f>
        <v>-50</v>
      </c>
      <c r="E33" s="8" t="str">
        <f>IF(C33&gt;0,B33/C33,"")</f>
        <v/>
      </c>
    </row>
    <row r="34" spans="1:5" ht="14.25" customHeight="1" x14ac:dyDescent="0.35">
      <c r="A34" s="2" t="s">
        <v>353</v>
      </c>
      <c r="B34" s="7">
        <v>50</v>
      </c>
      <c r="C34" s="7">
        <v>0</v>
      </c>
      <c r="D34" s="2">
        <f>C34-B34</f>
        <v>-50</v>
      </c>
      <c r="E34" s="8" t="str">
        <f>IF(C34&gt;0,B34/C34,"")</f>
        <v/>
      </c>
    </row>
  </sheetData>
  <mergeCells count="5">
    <mergeCell ref="A1:N1"/>
    <mergeCell ref="A3:N3"/>
    <mergeCell ref="A5:N5"/>
    <mergeCell ref="A18:N18"/>
    <mergeCell ref="A29:N29"/>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8"/>
  <sheetViews>
    <sheetView topLeftCell="A49" zoomScale="91" zoomScaleNormal="91" workbookViewId="0">
      <selection activeCell="A18" sqref="A18"/>
    </sheetView>
  </sheetViews>
  <sheetFormatPr defaultColWidth="17.81640625" defaultRowHeight="15.5" x14ac:dyDescent="0.35"/>
  <cols>
    <col min="1" max="1" width="60.1796875" style="27" customWidth="1"/>
    <col min="2" max="2" width="48.7265625" style="27" customWidth="1"/>
    <col min="3" max="3" width="24" style="27" customWidth="1"/>
    <col min="4" max="16384" width="17.81640625" style="27"/>
  </cols>
  <sheetData>
    <row r="1" spans="1:4" ht="15" customHeight="1" x14ac:dyDescent="0.35">
      <c r="A1" s="28" t="s">
        <v>354</v>
      </c>
      <c r="B1" s="27" t="s">
        <v>355</v>
      </c>
      <c r="C1" s="27" t="s">
        <v>356</v>
      </c>
    </row>
    <row r="2" spans="1:4" ht="15" customHeight="1" x14ac:dyDescent="0.35">
      <c r="A2" s="28" t="s">
        <v>357</v>
      </c>
    </row>
    <row r="3" spans="1:4" ht="15" customHeight="1" x14ac:dyDescent="0.35">
      <c r="A3" s="28" t="s">
        <v>358</v>
      </c>
      <c r="B3" s="27" t="s">
        <v>359</v>
      </c>
      <c r="C3" s="27" t="s">
        <v>360</v>
      </c>
    </row>
    <row r="4" spans="1:4" ht="15" customHeight="1" x14ac:dyDescent="0.35">
      <c r="A4" s="27" t="s">
        <v>361</v>
      </c>
      <c r="C4" s="27" t="s">
        <v>362</v>
      </c>
    </row>
    <row r="5" spans="1:4" ht="15" customHeight="1" x14ac:dyDescent="0.35">
      <c r="A5" s="51" t="s">
        <v>363</v>
      </c>
      <c r="B5" s="27" t="s">
        <v>101</v>
      </c>
    </row>
    <row r="6" spans="1:4" ht="15" customHeight="1" x14ac:dyDescent="0.35">
      <c r="A6" s="51"/>
      <c r="B6" s="27" t="s">
        <v>139</v>
      </c>
    </row>
    <row r="7" spans="1:4" ht="15" customHeight="1" x14ac:dyDescent="0.35">
      <c r="A7" s="51"/>
      <c r="B7" s="27" t="s">
        <v>364</v>
      </c>
    </row>
    <row r="8" spans="1:4" ht="15" customHeight="1" x14ac:dyDescent="0.35">
      <c r="A8" s="51"/>
      <c r="B8" s="27" t="s">
        <v>365</v>
      </c>
    </row>
    <row r="9" spans="1:4" ht="15" customHeight="1" x14ac:dyDescent="0.35">
      <c r="A9" s="51" t="s">
        <v>130</v>
      </c>
      <c r="B9" s="27" t="s">
        <v>137</v>
      </c>
    </row>
    <row r="10" spans="1:4" ht="15" customHeight="1" x14ac:dyDescent="0.35">
      <c r="A10" s="51"/>
      <c r="B10" s="27" t="s">
        <v>136</v>
      </c>
    </row>
    <row r="12" spans="1:4" ht="15" customHeight="1" x14ac:dyDescent="0.35">
      <c r="A12" s="27" t="s">
        <v>366</v>
      </c>
    </row>
    <row r="13" spans="1:4" ht="15" customHeight="1" x14ac:dyDescent="0.35">
      <c r="A13" s="27" t="s">
        <v>367</v>
      </c>
    </row>
    <row r="14" spans="1:4" ht="15" customHeight="1" x14ac:dyDescent="0.35">
      <c r="A14" s="27" t="s">
        <v>368</v>
      </c>
    </row>
    <row r="15" spans="1:4" ht="409.5" customHeight="1" x14ac:dyDescent="0.35">
      <c r="A15" s="27" t="s">
        <v>369</v>
      </c>
      <c r="B15" s="29" t="s">
        <v>370</v>
      </c>
    </row>
    <row r="16" spans="1:4" ht="15" customHeight="1" x14ac:dyDescent="0.35">
      <c r="A16" s="27" t="s">
        <v>371</v>
      </c>
      <c r="B16" s="27" t="s">
        <v>372</v>
      </c>
      <c r="C16" s="27" t="s">
        <v>373</v>
      </c>
      <c r="D16" s="27" t="s">
        <v>374</v>
      </c>
    </row>
    <row r="17" spans="1:1" ht="409.5" customHeight="1" x14ac:dyDescent="0.35">
      <c r="A17" s="29" t="s">
        <v>375</v>
      </c>
    </row>
    <row r="18" spans="1:1" ht="409.5" customHeight="1" x14ac:dyDescent="0.35">
      <c r="A18" s="29" t="s">
        <v>376</v>
      </c>
    </row>
  </sheetData>
  <mergeCells count="2">
    <mergeCell ref="A5:A8"/>
    <mergeCell ref="A9:A10"/>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zoomScale="80" zoomScaleNormal="80" workbookViewId="0">
      <selection activeCell="C8" sqref="C8"/>
    </sheetView>
  </sheetViews>
  <sheetFormatPr defaultColWidth="8.6328125" defaultRowHeight="14.5" x14ac:dyDescent="0.35"/>
  <cols>
    <col min="1" max="1" width="18" customWidth="1"/>
    <col min="2" max="2" width="40" customWidth="1"/>
    <col min="3" max="3" width="15" customWidth="1"/>
    <col min="4" max="5" width="12" customWidth="1"/>
    <col min="6" max="6" width="15" customWidth="1"/>
    <col min="7" max="8" width="12" customWidth="1"/>
  </cols>
  <sheetData>
    <row r="1" spans="1:8" ht="18" customHeight="1" x14ac:dyDescent="0.35">
      <c r="A1" s="52" t="s">
        <v>377</v>
      </c>
      <c r="B1" s="52"/>
      <c r="C1" s="52"/>
    </row>
    <row r="2" spans="1:8" ht="26.25" customHeight="1" x14ac:dyDescent="0.35">
      <c r="A2" s="6" t="s">
        <v>378</v>
      </c>
      <c r="B2" s="6" t="s">
        <v>379</v>
      </c>
      <c r="C2" s="6" t="s">
        <v>380</v>
      </c>
      <c r="D2" s="6" t="s">
        <v>69</v>
      </c>
      <c r="E2" s="6" t="s">
        <v>381</v>
      </c>
      <c r="F2" s="6" t="s">
        <v>25</v>
      </c>
      <c r="G2" s="6" t="s">
        <v>61</v>
      </c>
      <c r="H2" s="6" t="s">
        <v>297</v>
      </c>
    </row>
    <row r="3" spans="1:8" ht="69.75" customHeight="1" x14ac:dyDescent="0.35">
      <c r="A3" s="22" t="s">
        <v>152</v>
      </c>
      <c r="B3" s="23" t="s">
        <v>382</v>
      </c>
      <c r="C3" s="23" t="s">
        <v>383</v>
      </c>
      <c r="D3">
        <v>9</v>
      </c>
      <c r="E3">
        <v>8</v>
      </c>
      <c r="F3">
        <f t="shared" ref="F3:F8" si="0">D3*E3</f>
        <v>72</v>
      </c>
      <c r="G3" t="s">
        <v>107</v>
      </c>
      <c r="H3" s="30">
        <v>0.2</v>
      </c>
    </row>
    <row r="4" spans="1:8" ht="69.75" customHeight="1" x14ac:dyDescent="0.35">
      <c r="A4" s="22" t="s">
        <v>160</v>
      </c>
      <c r="B4" s="23" t="s">
        <v>384</v>
      </c>
      <c r="C4" s="23" t="s">
        <v>385</v>
      </c>
      <c r="D4" s="31">
        <v>7</v>
      </c>
      <c r="E4" s="31">
        <v>6</v>
      </c>
      <c r="F4">
        <f t="shared" si="0"/>
        <v>42</v>
      </c>
      <c r="G4" t="s">
        <v>109</v>
      </c>
      <c r="H4" s="30">
        <v>0</v>
      </c>
    </row>
    <row r="5" spans="1:8" ht="69.75" customHeight="1" x14ac:dyDescent="0.35">
      <c r="A5" s="22" t="s">
        <v>168</v>
      </c>
      <c r="B5" s="23" t="s">
        <v>386</v>
      </c>
      <c r="C5" s="23" t="s">
        <v>387</v>
      </c>
      <c r="D5" s="31">
        <v>6</v>
      </c>
      <c r="E5" s="31">
        <v>5</v>
      </c>
      <c r="F5">
        <f t="shared" si="0"/>
        <v>30</v>
      </c>
      <c r="G5" t="s">
        <v>109</v>
      </c>
      <c r="H5" s="30">
        <v>0</v>
      </c>
    </row>
    <row r="6" spans="1:8" ht="69.75" customHeight="1" x14ac:dyDescent="0.35">
      <c r="A6" s="22" t="s">
        <v>175</v>
      </c>
      <c r="B6" s="23" t="s">
        <v>388</v>
      </c>
      <c r="C6" s="23" t="s">
        <v>389</v>
      </c>
      <c r="D6" s="31">
        <v>8</v>
      </c>
      <c r="E6" s="31">
        <v>7</v>
      </c>
      <c r="F6">
        <f t="shared" si="0"/>
        <v>56</v>
      </c>
      <c r="G6" t="s">
        <v>109</v>
      </c>
      <c r="H6" s="30">
        <v>0</v>
      </c>
    </row>
    <row r="7" spans="1:8" ht="69.75" customHeight="1" x14ac:dyDescent="0.35">
      <c r="A7" s="22" t="s">
        <v>183</v>
      </c>
      <c r="B7" s="23" t="s">
        <v>390</v>
      </c>
      <c r="C7" s="23" t="s">
        <v>391</v>
      </c>
      <c r="D7" s="31">
        <v>10</v>
      </c>
      <c r="E7" s="31">
        <v>8</v>
      </c>
      <c r="F7">
        <f t="shared" si="0"/>
        <v>80</v>
      </c>
      <c r="G7" t="s">
        <v>109</v>
      </c>
      <c r="H7" s="30">
        <v>0</v>
      </c>
    </row>
    <row r="8" spans="1:8" ht="69.75" customHeight="1" x14ac:dyDescent="0.35">
      <c r="A8" s="22" t="s">
        <v>193</v>
      </c>
      <c r="B8" s="23" t="s">
        <v>392</v>
      </c>
      <c r="C8" s="23" t="s">
        <v>387</v>
      </c>
      <c r="D8" s="31">
        <v>5</v>
      </c>
      <c r="E8" s="31">
        <v>4</v>
      </c>
      <c r="F8">
        <f t="shared" si="0"/>
        <v>20</v>
      </c>
      <c r="G8" t="s">
        <v>109</v>
      </c>
      <c r="H8" s="30">
        <v>0</v>
      </c>
    </row>
    <row r="10" spans="1:8" ht="14.25" customHeight="1" x14ac:dyDescent="0.35">
      <c r="A10" s="53" t="s">
        <v>393</v>
      </c>
      <c r="B10" s="53"/>
      <c r="C10" s="53"/>
      <c r="D10" s="53"/>
      <c r="E10" s="53"/>
      <c r="F10" s="53"/>
      <c r="G10" s="53"/>
      <c r="H10" s="53"/>
    </row>
    <row r="11" spans="1:8" ht="14.25" customHeight="1" x14ac:dyDescent="0.35">
      <c r="A11" s="6" t="s">
        <v>394</v>
      </c>
      <c r="B11" s="6" t="s">
        <v>327</v>
      </c>
      <c r="C11" s="6" t="s">
        <v>329</v>
      </c>
      <c r="D11" s="6" t="s">
        <v>104</v>
      </c>
      <c r="E11" s="6" t="s">
        <v>61</v>
      </c>
      <c r="F11" s="6" t="s">
        <v>328</v>
      </c>
    </row>
    <row r="12" spans="1:8" ht="23.25" customHeight="1" x14ac:dyDescent="0.35">
      <c r="A12" s="2" t="s">
        <v>395</v>
      </c>
      <c r="B12" s="2" t="s">
        <v>396</v>
      </c>
      <c r="C12" s="7">
        <v>2</v>
      </c>
      <c r="D12" s="9">
        <f ca="1">TODAY()+1</f>
        <v>46081</v>
      </c>
      <c r="E12" s="2" t="s">
        <v>109</v>
      </c>
      <c r="F12" s="2" t="s">
        <v>334</v>
      </c>
    </row>
    <row r="13" spans="1:8" ht="23.25" customHeight="1" x14ac:dyDescent="0.35">
      <c r="A13" s="2" t="s">
        <v>395</v>
      </c>
      <c r="B13" s="2" t="s">
        <v>397</v>
      </c>
      <c r="C13" s="7">
        <v>3</v>
      </c>
      <c r="D13" s="9">
        <f ca="1">TODAY()+5</f>
        <v>46085</v>
      </c>
      <c r="E13" s="2" t="s">
        <v>109</v>
      </c>
      <c r="F13" s="2" t="s">
        <v>334</v>
      </c>
    </row>
    <row r="14" spans="1:8" ht="23.25" customHeight="1" x14ac:dyDescent="0.35">
      <c r="A14" s="2" t="s">
        <v>395</v>
      </c>
      <c r="B14" s="2" t="s">
        <v>398</v>
      </c>
      <c r="C14" s="7">
        <v>8</v>
      </c>
      <c r="D14" s="9">
        <f ca="1">TODAY()+10</f>
        <v>46090</v>
      </c>
      <c r="E14" s="2" t="s">
        <v>109</v>
      </c>
      <c r="F14" s="2" t="s">
        <v>334</v>
      </c>
    </row>
    <row r="15" spans="1:8" ht="23.25" customHeight="1" x14ac:dyDescent="0.35">
      <c r="A15" s="2" t="s">
        <v>399</v>
      </c>
      <c r="B15" s="2" t="s">
        <v>400</v>
      </c>
      <c r="C15" s="7">
        <v>1</v>
      </c>
      <c r="D15" s="9">
        <f ca="1">TODAY()</f>
        <v>46080</v>
      </c>
      <c r="E15" s="2" t="s">
        <v>109</v>
      </c>
      <c r="F15" s="2" t="s">
        <v>334</v>
      </c>
    </row>
    <row r="16" spans="1:8" ht="23.25" customHeight="1" x14ac:dyDescent="0.35">
      <c r="A16" s="2" t="s">
        <v>399</v>
      </c>
      <c r="B16" s="2" t="s">
        <v>401</v>
      </c>
      <c r="C16" s="7">
        <v>1</v>
      </c>
      <c r="D16" s="9">
        <f ca="1">TODAY()</f>
        <v>46080</v>
      </c>
      <c r="E16" s="2" t="s">
        <v>109</v>
      </c>
      <c r="F16" s="2" t="s">
        <v>334</v>
      </c>
    </row>
    <row r="17" spans="1:6" ht="23.25" customHeight="1" x14ac:dyDescent="0.35">
      <c r="A17" s="2" t="s">
        <v>402</v>
      </c>
      <c r="B17" s="2" t="s">
        <v>403</v>
      </c>
      <c r="C17" s="7">
        <v>8</v>
      </c>
      <c r="D17" s="9">
        <f ca="1">TODAY()+3</f>
        <v>46083</v>
      </c>
      <c r="E17" s="2" t="s">
        <v>107</v>
      </c>
      <c r="F17" s="2" t="s">
        <v>334</v>
      </c>
    </row>
    <row r="18" spans="1:6" ht="23.25" customHeight="1" x14ac:dyDescent="0.35">
      <c r="A18" s="2" t="s">
        <v>402</v>
      </c>
      <c r="B18" s="2" t="s">
        <v>404</v>
      </c>
      <c r="C18" s="7">
        <v>4</v>
      </c>
      <c r="D18" s="9">
        <f ca="1">TODAY()+7</f>
        <v>46087</v>
      </c>
      <c r="E18" s="2" t="s">
        <v>109</v>
      </c>
      <c r="F18" s="2" t="s">
        <v>334</v>
      </c>
    </row>
    <row r="19" spans="1:6" ht="23.25" customHeight="1" x14ac:dyDescent="0.35">
      <c r="A19" s="2" t="s">
        <v>405</v>
      </c>
      <c r="B19" s="2" t="s">
        <v>406</v>
      </c>
      <c r="C19" s="7">
        <v>6</v>
      </c>
      <c r="D19" s="9">
        <f ca="1">TODAY()+10</f>
        <v>46090</v>
      </c>
      <c r="E19" s="2" t="s">
        <v>109</v>
      </c>
      <c r="F19" s="2" t="s">
        <v>334</v>
      </c>
    </row>
  </sheetData>
  <mergeCells count="2">
    <mergeCell ref="A1:C1"/>
    <mergeCell ref="A10:H10"/>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0"/>
  <sheetViews>
    <sheetView zoomScaleNormal="100" workbookViewId="0"/>
  </sheetViews>
  <sheetFormatPr defaultColWidth="8.6328125" defaultRowHeight="14.5" x14ac:dyDescent="0.35"/>
  <cols>
    <col min="1" max="1" width="12" customWidth="1"/>
    <col min="2" max="2" width="25" customWidth="1"/>
    <col min="3" max="4" width="10" customWidth="1"/>
    <col min="5" max="5" width="12" customWidth="1"/>
    <col min="6" max="7" width="20" customWidth="1"/>
    <col min="8" max="8" width="12" customWidth="1"/>
    <col min="9" max="9" width="15" customWidth="1"/>
    <col min="10" max="10" width="30" customWidth="1"/>
  </cols>
  <sheetData>
    <row r="1" spans="1:10" ht="14.25" customHeight="1" x14ac:dyDescent="0.35">
      <c r="A1" s="54" t="s">
        <v>407</v>
      </c>
      <c r="B1" s="54"/>
      <c r="C1" s="54"/>
      <c r="D1" s="54"/>
      <c r="E1" s="54"/>
      <c r="F1" s="54"/>
      <c r="G1" s="54"/>
      <c r="H1" s="54"/>
      <c r="I1" s="54"/>
      <c r="J1" s="54"/>
    </row>
    <row r="2" spans="1:10" ht="26.25" customHeight="1" x14ac:dyDescent="0.35">
      <c r="A2" s="6" t="s">
        <v>67</v>
      </c>
      <c r="B2" s="6" t="s">
        <v>408</v>
      </c>
      <c r="C2" s="6" t="s">
        <v>69</v>
      </c>
      <c r="D2" s="6" t="s">
        <v>381</v>
      </c>
      <c r="E2" s="6" t="s">
        <v>295</v>
      </c>
      <c r="F2" s="6" t="s">
        <v>409</v>
      </c>
      <c r="G2" s="6" t="s">
        <v>410</v>
      </c>
      <c r="H2" s="6" t="s">
        <v>411</v>
      </c>
      <c r="I2" s="6" t="s">
        <v>61</v>
      </c>
      <c r="J2" s="6" t="s">
        <v>298</v>
      </c>
    </row>
    <row r="3" spans="1:10" ht="14.25" customHeight="1" x14ac:dyDescent="0.35">
      <c r="A3" s="2" t="s">
        <v>83</v>
      </c>
      <c r="B3" s="2" t="s">
        <v>412</v>
      </c>
      <c r="C3" s="7">
        <v>3</v>
      </c>
      <c r="D3" s="7">
        <v>9</v>
      </c>
      <c r="E3" s="7">
        <v>5</v>
      </c>
      <c r="F3" s="2" t="s">
        <v>413</v>
      </c>
      <c r="G3" s="2" t="s">
        <v>414</v>
      </c>
      <c r="H3" s="2">
        <f t="shared" ref="H3:H10" si="0">E3</f>
        <v>5</v>
      </c>
      <c r="I3" s="2" t="s">
        <v>109</v>
      </c>
      <c r="J3" s="2" t="s">
        <v>415</v>
      </c>
    </row>
    <row r="4" spans="1:10" ht="14.25" customHeight="1" x14ac:dyDescent="0.35">
      <c r="A4" s="2" t="s">
        <v>83</v>
      </c>
      <c r="B4" s="2" t="s">
        <v>416</v>
      </c>
      <c r="C4" s="7">
        <v>2</v>
      </c>
      <c r="D4" s="7">
        <v>10</v>
      </c>
      <c r="E4" s="7">
        <v>10</v>
      </c>
      <c r="F4" s="2" t="s">
        <v>417</v>
      </c>
      <c r="G4" s="2" t="s">
        <v>418</v>
      </c>
      <c r="H4" s="2">
        <f t="shared" si="0"/>
        <v>10</v>
      </c>
      <c r="I4" s="2" t="s">
        <v>109</v>
      </c>
      <c r="J4" s="2" t="s">
        <v>419</v>
      </c>
    </row>
    <row r="5" spans="1:10" ht="14.25" customHeight="1" x14ac:dyDescent="0.35">
      <c r="A5" s="2" t="s">
        <v>86</v>
      </c>
      <c r="B5" s="2" t="s">
        <v>420</v>
      </c>
      <c r="C5" s="7">
        <v>4</v>
      </c>
      <c r="D5" s="7">
        <v>5</v>
      </c>
      <c r="E5" s="7">
        <v>3</v>
      </c>
      <c r="F5" s="2" t="s">
        <v>421</v>
      </c>
      <c r="G5" s="2" t="s">
        <v>422</v>
      </c>
      <c r="H5" s="2">
        <f t="shared" si="0"/>
        <v>3</v>
      </c>
      <c r="I5" s="2" t="s">
        <v>109</v>
      </c>
      <c r="J5" s="2" t="s">
        <v>423</v>
      </c>
    </row>
    <row r="6" spans="1:10" ht="14.25" customHeight="1" x14ac:dyDescent="0.35">
      <c r="A6" s="2" t="s">
        <v>77</v>
      </c>
      <c r="B6" s="2" t="s">
        <v>424</v>
      </c>
      <c r="C6" s="7">
        <v>3</v>
      </c>
      <c r="D6" s="7">
        <v>8</v>
      </c>
      <c r="E6" s="7">
        <v>8</v>
      </c>
      <c r="F6" s="2" t="s">
        <v>425</v>
      </c>
      <c r="G6" s="2" t="s">
        <v>426</v>
      </c>
      <c r="H6" s="2">
        <f t="shared" si="0"/>
        <v>8</v>
      </c>
      <c r="I6" s="2" t="s">
        <v>109</v>
      </c>
      <c r="J6" s="2" t="s">
        <v>427</v>
      </c>
    </row>
    <row r="7" spans="1:10" ht="14.25" customHeight="1" x14ac:dyDescent="0.35">
      <c r="A7" s="2" t="s">
        <v>80</v>
      </c>
      <c r="B7" s="2" t="s">
        <v>428</v>
      </c>
      <c r="C7" s="7">
        <v>5</v>
      </c>
      <c r="D7" s="7">
        <v>7</v>
      </c>
      <c r="E7" s="7">
        <v>4</v>
      </c>
      <c r="F7" s="2" t="s">
        <v>429</v>
      </c>
      <c r="G7" s="2" t="s">
        <v>430</v>
      </c>
      <c r="H7" s="2">
        <f t="shared" si="0"/>
        <v>4</v>
      </c>
      <c r="I7" s="2" t="s">
        <v>109</v>
      </c>
      <c r="J7" s="2" t="s">
        <v>431</v>
      </c>
    </row>
    <row r="8" spans="1:10" ht="14.25" customHeight="1" x14ac:dyDescent="0.35">
      <c r="A8" s="2" t="s">
        <v>432</v>
      </c>
      <c r="B8" s="2" t="s">
        <v>433</v>
      </c>
      <c r="C8" s="7">
        <v>2</v>
      </c>
      <c r="D8" s="7">
        <v>3</v>
      </c>
      <c r="E8" s="7">
        <v>5</v>
      </c>
      <c r="F8" s="2" t="s">
        <v>434</v>
      </c>
      <c r="G8" s="2" t="s">
        <v>435</v>
      </c>
      <c r="H8" s="2">
        <f t="shared" si="0"/>
        <v>5</v>
      </c>
      <c r="I8" s="2" t="s">
        <v>109</v>
      </c>
      <c r="J8" s="2" t="s">
        <v>436</v>
      </c>
    </row>
    <row r="9" spans="1:10" ht="14.25" customHeight="1" x14ac:dyDescent="0.35">
      <c r="A9" s="2" t="s">
        <v>83</v>
      </c>
      <c r="B9" s="2" t="s">
        <v>320</v>
      </c>
      <c r="C9" s="7">
        <v>5</v>
      </c>
      <c r="D9" s="7">
        <v>4</v>
      </c>
      <c r="E9" s="7">
        <v>10</v>
      </c>
      <c r="F9" s="2" t="s">
        <v>437</v>
      </c>
      <c r="G9" s="2" t="s">
        <v>438</v>
      </c>
      <c r="H9" s="2">
        <f t="shared" si="0"/>
        <v>10</v>
      </c>
      <c r="I9" s="2" t="s">
        <v>107</v>
      </c>
      <c r="J9" s="2" t="s">
        <v>439</v>
      </c>
    </row>
    <row r="10" spans="1:10" ht="14.25" customHeight="1" x14ac:dyDescent="0.35">
      <c r="A10" s="2" t="s">
        <v>86</v>
      </c>
      <c r="B10" s="2" t="s">
        <v>440</v>
      </c>
      <c r="C10" s="7">
        <v>3</v>
      </c>
      <c r="D10" s="7">
        <v>6</v>
      </c>
      <c r="E10" s="7">
        <v>6</v>
      </c>
      <c r="F10" s="2" t="s">
        <v>441</v>
      </c>
      <c r="G10" s="2" t="s">
        <v>442</v>
      </c>
      <c r="H10" s="2">
        <f t="shared" si="0"/>
        <v>6</v>
      </c>
      <c r="I10" s="2" t="s">
        <v>109</v>
      </c>
      <c r="J10" s="2" t="s">
        <v>443</v>
      </c>
    </row>
    <row r="12" spans="1:10" ht="14.25" customHeight="1" x14ac:dyDescent="0.35">
      <c r="A12" s="53" t="s">
        <v>444</v>
      </c>
      <c r="B12" s="53"/>
      <c r="C12" s="53"/>
      <c r="D12" s="53"/>
      <c r="E12" s="53"/>
      <c r="F12" s="53"/>
      <c r="G12" s="53"/>
      <c r="H12" s="53"/>
      <c r="I12" s="53"/>
      <c r="J12" s="53"/>
    </row>
    <row r="13" spans="1:10" ht="26.25" customHeight="1" x14ac:dyDescent="0.35">
      <c r="A13" s="6" t="s">
        <v>445</v>
      </c>
      <c r="B13" s="6" t="s">
        <v>327</v>
      </c>
      <c r="C13" s="6" t="s">
        <v>329</v>
      </c>
      <c r="D13" s="6" t="s">
        <v>104</v>
      </c>
      <c r="E13" s="6" t="s">
        <v>61</v>
      </c>
      <c r="F13" s="6" t="s">
        <v>328</v>
      </c>
    </row>
    <row r="14" spans="1:10" ht="23.25" customHeight="1" x14ac:dyDescent="0.35">
      <c r="A14" s="2" t="s">
        <v>446</v>
      </c>
      <c r="B14" s="2" t="s">
        <v>447</v>
      </c>
      <c r="C14" s="7">
        <v>2</v>
      </c>
      <c r="D14" s="9">
        <f ca="1">TODAY()+1</f>
        <v>46081</v>
      </c>
      <c r="E14" s="2" t="s">
        <v>109</v>
      </c>
      <c r="F14" s="2" t="s">
        <v>334</v>
      </c>
    </row>
    <row r="15" spans="1:10" ht="23.25" customHeight="1" x14ac:dyDescent="0.35">
      <c r="A15" s="2" t="s">
        <v>446</v>
      </c>
      <c r="B15" s="2" t="s">
        <v>448</v>
      </c>
      <c r="C15" s="7">
        <v>4</v>
      </c>
      <c r="D15" s="9">
        <f ca="1">TODAY()+2</f>
        <v>46082</v>
      </c>
      <c r="E15" s="2" t="s">
        <v>109</v>
      </c>
      <c r="F15" s="2" t="s">
        <v>334</v>
      </c>
    </row>
    <row r="16" spans="1:10" ht="23.25" customHeight="1" x14ac:dyDescent="0.35">
      <c r="A16" s="2" t="s">
        <v>446</v>
      </c>
      <c r="B16" s="2" t="s">
        <v>449</v>
      </c>
      <c r="C16" s="7">
        <v>1</v>
      </c>
      <c r="D16" s="9">
        <f ca="1">TODAY()+7</f>
        <v>46087</v>
      </c>
      <c r="E16" s="2" t="s">
        <v>450</v>
      </c>
      <c r="F16" s="2" t="s">
        <v>334</v>
      </c>
    </row>
    <row r="17" spans="1:6" ht="23.25" customHeight="1" x14ac:dyDescent="0.35">
      <c r="A17" s="2" t="s">
        <v>451</v>
      </c>
      <c r="B17" s="2" t="s">
        <v>452</v>
      </c>
      <c r="C17" s="7">
        <v>1</v>
      </c>
      <c r="D17" s="9">
        <f ca="1">TODAY()</f>
        <v>46080</v>
      </c>
      <c r="E17" s="2" t="s">
        <v>109</v>
      </c>
      <c r="F17" s="2" t="s">
        <v>334</v>
      </c>
    </row>
    <row r="18" spans="1:6" ht="23.25" customHeight="1" x14ac:dyDescent="0.35">
      <c r="A18" s="2" t="s">
        <v>451</v>
      </c>
      <c r="B18" s="2" t="s">
        <v>453</v>
      </c>
      <c r="C18" s="7">
        <v>1</v>
      </c>
      <c r="D18" s="32">
        <f ca="1">TODAY()+1</f>
        <v>46081</v>
      </c>
      <c r="E18" s="2" t="s">
        <v>109</v>
      </c>
      <c r="F18" s="2" t="s">
        <v>334</v>
      </c>
    </row>
    <row r="19" spans="1:6" ht="23.25" customHeight="1" x14ac:dyDescent="0.35">
      <c r="A19" s="2" t="s">
        <v>454</v>
      </c>
      <c r="B19" s="2" t="s">
        <v>455</v>
      </c>
      <c r="C19" s="7">
        <v>20</v>
      </c>
      <c r="D19" s="9">
        <f ca="1">TODAY()+14</f>
        <v>46094</v>
      </c>
      <c r="E19" s="2" t="s">
        <v>107</v>
      </c>
      <c r="F19" s="2" t="s">
        <v>334</v>
      </c>
    </row>
    <row r="20" spans="1:6" ht="23.25" customHeight="1" x14ac:dyDescent="0.35">
      <c r="A20" s="2" t="s">
        <v>454</v>
      </c>
      <c r="B20" s="2" t="s">
        <v>456</v>
      </c>
      <c r="C20" s="7">
        <v>5</v>
      </c>
      <c r="D20" s="32">
        <f ca="1">TODAY()+1</f>
        <v>46081</v>
      </c>
      <c r="E20" s="2" t="s">
        <v>109</v>
      </c>
      <c r="F20" s="2" t="s">
        <v>334</v>
      </c>
    </row>
  </sheetData>
  <mergeCells count="2">
    <mergeCell ref="A1:J1"/>
    <mergeCell ref="A12:J12"/>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MISSION COMMAND</vt:lpstr>
      <vt:lpstr>War Room</vt:lpstr>
      <vt:lpstr>The Mission</vt:lpstr>
      <vt:lpstr>War Gaming</vt:lpstr>
      <vt:lpstr>Surgical Execution</vt:lpstr>
      <vt:lpstr>Dashboard</vt:lpstr>
      <vt:lpstr>Affairs </vt:lpstr>
      <vt:lpstr>Intrests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Harish Nalendala Gopinath(UST,IN)</cp:lastModifiedBy>
  <cp:revision>1</cp:revision>
  <cp:lastPrinted>2026-02-03T12:10:05Z</cp:lastPrinted>
  <dcterms:created xsi:type="dcterms:W3CDTF">2026-02-03T08:18:06Z</dcterms:created>
  <dcterms:modified xsi:type="dcterms:W3CDTF">2026-02-26T19:16:34Z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611190-2d31-4c92-b354-5182a5f7c128_Enabled">
    <vt:lpwstr>true</vt:lpwstr>
  </property>
  <property fmtid="{D5CDD505-2E9C-101B-9397-08002B2CF9AE}" pid="3" name="MSIP_Label_a4611190-2d31-4c92-b354-5182a5f7c128_SetDate">
    <vt:lpwstr>2026-02-25T07:53:50Z</vt:lpwstr>
  </property>
  <property fmtid="{D5CDD505-2E9C-101B-9397-08002B2CF9AE}" pid="4" name="MSIP_Label_a4611190-2d31-4c92-b354-5182a5f7c128_Method">
    <vt:lpwstr>Privileged</vt:lpwstr>
  </property>
  <property fmtid="{D5CDD505-2E9C-101B-9397-08002B2CF9AE}" pid="5" name="MSIP_Label_a4611190-2d31-4c92-b354-5182a5f7c128_Name">
    <vt:lpwstr>a4611190-2d31-4c92-b354-5182a5f7c128</vt:lpwstr>
  </property>
  <property fmtid="{D5CDD505-2E9C-101B-9397-08002B2CF9AE}" pid="6" name="MSIP_Label_a4611190-2d31-4c92-b354-5182a5f7c128_SiteId">
    <vt:lpwstr>a4431f4b-c207-4733-9530-34c08a9b2b8d</vt:lpwstr>
  </property>
  <property fmtid="{D5CDD505-2E9C-101B-9397-08002B2CF9AE}" pid="7" name="MSIP_Label_a4611190-2d31-4c92-b354-5182a5f7c128_ActionId">
    <vt:lpwstr>1b8aed66-0e73-4d23-9720-b4404dd9af3a</vt:lpwstr>
  </property>
  <property fmtid="{D5CDD505-2E9C-101B-9397-08002B2CF9AE}" pid="8" name="MSIP_Label_a4611190-2d31-4c92-b354-5182a5f7c128_ContentBits">
    <vt:lpwstr>0</vt:lpwstr>
  </property>
  <property fmtid="{D5CDD505-2E9C-101B-9397-08002B2CF9AE}" pid="9" name="MSIP_Label_a4611190-2d31-4c92-b354-5182a5f7c128_Tag">
    <vt:lpwstr>10, 0, 1, 1</vt:lpwstr>
  </property>
</Properties>
</file>